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f2f6b456abd6aa12/Desktop/m1/"/>
    </mc:Choice>
  </mc:AlternateContent>
  <xr:revisionPtr revIDLastSave="405" documentId="8_{F802AF6C-6300-40D8-8BAF-BABD2BD306AE}" xr6:coauthVersionLast="47" xr6:coauthVersionMax="47" xr10:uidLastSave="{CE9CA6DC-5129-4E13-B3BE-027F26EF9CDC}"/>
  <bookViews>
    <workbookView xWindow="-108" yWindow="-108" windowWidth="23256" windowHeight="13896" activeTab="1" xr2:uid="{ECC05D2C-6C67-4AB8-8DFB-1B95FB823AD0}"/>
  </bookViews>
  <sheets>
    <sheet name="Pivot" sheetId="5" r:id="rId1"/>
    <sheet name="sales" sheetId="1" r:id="rId2"/>
    <sheet name="dashboard" sheetId="2" r:id="rId3"/>
  </sheets>
  <definedNames>
    <definedName name="Slicer_Category1">#N/A</definedName>
    <definedName name="Slicer_Month">#N/A</definedName>
    <definedName name="Slicer_Region">#N/A</definedName>
  </definedNames>
  <calcPr calcId="191029"/>
  <pivotCaches>
    <pivotCache cacheId="0" r:id="rId4"/>
    <pivotCache cacheId="1" r:id="rId5"/>
    <pivotCache cacheId="2"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K3" i="1"/>
  <c r="K4" i="1"/>
  <c r="K5" i="1"/>
  <c r="K6" i="1"/>
  <c r="K7" i="1"/>
  <c r="K8" i="1"/>
  <c r="K9" i="1"/>
  <c r="K10" i="1"/>
  <c r="K11" i="1"/>
  <c r="K2" i="1"/>
  <c r="J3" i="1"/>
  <c r="J4" i="1"/>
  <c r="J5" i="1"/>
  <c r="J6" i="1"/>
  <c r="J7" i="1"/>
  <c r="J8" i="1"/>
  <c r="J9" i="1"/>
  <c r="J10" i="1"/>
  <c r="J11" i="1"/>
  <c r="I3" i="1"/>
  <c r="I4" i="1"/>
  <c r="I5" i="1"/>
  <c r="I6" i="1"/>
  <c r="I7" i="1"/>
  <c r="I8" i="1"/>
  <c r="I9" i="1"/>
  <c r="I10" i="1"/>
  <c r="I11" i="1"/>
  <c r="I2" i="1"/>
  <c r="H11" i="1"/>
  <c r="G11" i="1"/>
  <c r="H10" i="1"/>
  <c r="G10" i="1"/>
  <c r="H9" i="1"/>
  <c r="G9" i="1"/>
  <c r="H8" i="1"/>
  <c r="G8" i="1"/>
  <c r="H7" i="1"/>
  <c r="G7" i="1"/>
  <c r="H6" i="1"/>
  <c r="G6" i="1"/>
  <c r="H5" i="1"/>
  <c r="G5" i="1"/>
  <c r="H4" i="1"/>
  <c r="G4" i="1"/>
  <c r="H3" i="1"/>
  <c r="G3" i="1"/>
  <c r="H2" i="1"/>
  <c r="G2" i="1"/>
</calcChain>
</file>

<file path=xl/sharedStrings.xml><?xml version="1.0" encoding="utf-8"?>
<sst xmlns="http://schemas.openxmlformats.org/spreadsheetml/2006/main" count="99" uniqueCount="55">
  <si>
    <t>Order ID</t>
  </si>
  <si>
    <t xml:space="preserve">Order Date </t>
  </si>
  <si>
    <t>Product ID</t>
  </si>
  <si>
    <t>Quantity</t>
  </si>
  <si>
    <t>Sales Amount</t>
  </si>
  <si>
    <t xml:space="preserve">Product ID </t>
  </si>
  <si>
    <t>Product Name</t>
  </si>
  <si>
    <t>Category</t>
  </si>
  <si>
    <t>P101</t>
  </si>
  <si>
    <t>P102</t>
  </si>
  <si>
    <t>P103</t>
  </si>
  <si>
    <t>P104</t>
  </si>
  <si>
    <t>P105</t>
  </si>
  <si>
    <t>P106</t>
  </si>
  <si>
    <t>Region ID</t>
  </si>
  <si>
    <t>R1</t>
  </si>
  <si>
    <t>R2</t>
  </si>
  <si>
    <t>R3</t>
  </si>
  <si>
    <t>Month</t>
  </si>
  <si>
    <t>Laptop</t>
  </si>
  <si>
    <t>Mobile</t>
  </si>
  <si>
    <t>Chair</t>
  </si>
  <si>
    <t>Table</t>
  </si>
  <si>
    <t>Electronics</t>
  </si>
  <si>
    <t>Furniture</t>
  </si>
  <si>
    <t>Region Name</t>
  </si>
  <si>
    <t>North</t>
  </si>
  <si>
    <t>South</t>
  </si>
  <si>
    <t>West</t>
  </si>
  <si>
    <t>Weekday</t>
  </si>
  <si>
    <t>Printer</t>
  </si>
  <si>
    <t>R4</t>
  </si>
  <si>
    <t>East</t>
  </si>
  <si>
    <t>Lamp</t>
  </si>
  <si>
    <t>Home</t>
  </si>
  <si>
    <t>Region</t>
  </si>
  <si>
    <t>Sum of Sales Amount</t>
  </si>
  <si>
    <t>Row Labels</t>
  </si>
  <si>
    <t>Grand Total</t>
  </si>
  <si>
    <t>Apr-2024</t>
  </si>
  <si>
    <t>Feb-2024</t>
  </si>
  <si>
    <t>Jan-2024</t>
  </si>
  <si>
    <t>Jul-2024</t>
  </si>
  <si>
    <t>Jun-2024</t>
  </si>
  <si>
    <t>Mar-2024</t>
  </si>
  <si>
    <t>May-2024</t>
  </si>
  <si>
    <t>Monday</t>
  </si>
  <si>
    <t>Wednesday</t>
  </si>
  <si>
    <t>Thursday</t>
  </si>
  <si>
    <t>Friday</t>
  </si>
  <si>
    <t>Saturday</t>
  </si>
  <si>
    <t>Column Labels</t>
  </si>
  <si>
    <t>DATA CLEANING AND ANALYSIS</t>
  </si>
  <si>
    <t>PivotTables were used to generate automatic insights such as total sales, best-performing product, best region, and best month. PivotTables allow quick summarization and dynamic analysis of data without manual calculations.</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</si>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</sst>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22"/>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3" tint="0.749992370372631"/>
        <bgColor indexed="64"/>
      </patternFill>
    </fill>
    <fill>
      <patternFill patternType="solid">
        <fgColor theme="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3" borderId="0" xfId="0" applyFill="1" applyAlignment="1">
      <alignment horizontal="center"/>
    </xf>
    <xf numFmtId="0" fontId="2" fillId="4" borderId="0" xfId="0" applyFont="1" applyFill="1" applyAlignment="1">
      <alignment horizont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4.xlsx]Pivot!PivotTable1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Pivot!$A$2:$A$9</c:f>
              <c:strCache>
                <c:ptCount val="7"/>
                <c:pt idx="0">
                  <c:v>Apr-2024</c:v>
                </c:pt>
                <c:pt idx="1">
                  <c:v>Feb-2024</c:v>
                </c:pt>
                <c:pt idx="2">
                  <c:v>Jan-2024</c:v>
                </c:pt>
                <c:pt idx="3">
                  <c:v>Jul-2024</c:v>
                </c:pt>
                <c:pt idx="4">
                  <c:v>Jun-2024</c:v>
                </c:pt>
                <c:pt idx="5">
                  <c:v>Mar-2024</c:v>
                </c:pt>
                <c:pt idx="6">
                  <c:v>May-2024</c:v>
                </c:pt>
              </c:strCache>
            </c:strRef>
          </c:cat>
          <c:val>
            <c:numRef>
              <c:f>Pivot!$B$2:$B$9</c:f>
              <c:numCache>
                <c:formatCode>General</c:formatCode>
                <c:ptCount val="7"/>
                <c:pt idx="0">
                  <c:v>7000</c:v>
                </c:pt>
                <c:pt idx="1">
                  <c:v>8000</c:v>
                </c:pt>
                <c:pt idx="2">
                  <c:v>6500</c:v>
                </c:pt>
                <c:pt idx="3">
                  <c:v>2000</c:v>
                </c:pt>
                <c:pt idx="4">
                  <c:v>3000</c:v>
                </c:pt>
                <c:pt idx="5">
                  <c:v>8000</c:v>
                </c:pt>
                <c:pt idx="6">
                  <c:v>1500</c:v>
                </c:pt>
              </c:numCache>
            </c:numRef>
          </c:val>
          <c:smooth val="0"/>
          <c:extLst>
            <c:ext xmlns:c16="http://schemas.microsoft.com/office/drawing/2014/chart" uri="{C3380CC4-5D6E-409C-BE32-E72D297353CC}">
              <c16:uniqueId val="{00000000-E955-48C7-BDDE-04F723F91BED}"/>
            </c:ext>
          </c:extLst>
        </c:ser>
        <c:dLbls>
          <c:showLegendKey val="0"/>
          <c:showVal val="0"/>
          <c:showCatName val="0"/>
          <c:showSerName val="0"/>
          <c:showPercent val="0"/>
          <c:showBubbleSize val="0"/>
        </c:dLbls>
        <c:smooth val="0"/>
        <c:axId val="52490431"/>
        <c:axId val="52491391"/>
      </c:lineChart>
      <c:catAx>
        <c:axId val="5249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1391"/>
        <c:crosses val="autoZero"/>
        <c:auto val="1"/>
        <c:lblAlgn val="ctr"/>
        <c:lblOffset val="100"/>
        <c:noMultiLvlLbl val="0"/>
      </c:catAx>
      <c:valAx>
        <c:axId val="5249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4.xlsx]Pivot!PivotTable2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Weekday</a:t>
            </a:r>
            <a:r>
              <a:rPr lang="en-IN" baseline="0"/>
              <a:t> Sales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solidFill>
              <a:schemeClr val="accent1"/>
            </a:solidFill>
            <a:ln>
              <a:noFill/>
            </a:ln>
            <a:effectLst/>
          </c:spPr>
          <c:invertIfNegative val="0"/>
          <c:cat>
            <c:strRef>
              <c:f>Pivot!$A$22:$A$27</c:f>
              <c:strCache>
                <c:ptCount val="5"/>
                <c:pt idx="0">
                  <c:v>Monday</c:v>
                </c:pt>
                <c:pt idx="1">
                  <c:v>Wednesday</c:v>
                </c:pt>
                <c:pt idx="2">
                  <c:v>Thursday</c:v>
                </c:pt>
                <c:pt idx="3">
                  <c:v>Friday</c:v>
                </c:pt>
                <c:pt idx="4">
                  <c:v>Saturday</c:v>
                </c:pt>
              </c:strCache>
            </c:strRef>
          </c:cat>
          <c:val>
            <c:numRef>
              <c:f>Pivot!$B$22:$B$27</c:f>
              <c:numCache>
                <c:formatCode>General</c:formatCode>
                <c:ptCount val="5"/>
                <c:pt idx="0">
                  <c:v>3500</c:v>
                </c:pt>
                <c:pt idx="1">
                  <c:v>8000</c:v>
                </c:pt>
                <c:pt idx="2">
                  <c:v>7000</c:v>
                </c:pt>
                <c:pt idx="3">
                  <c:v>9000</c:v>
                </c:pt>
                <c:pt idx="4">
                  <c:v>8500</c:v>
                </c:pt>
              </c:numCache>
            </c:numRef>
          </c:val>
          <c:extLst>
            <c:ext xmlns:c16="http://schemas.microsoft.com/office/drawing/2014/chart" uri="{C3380CC4-5D6E-409C-BE32-E72D297353CC}">
              <c16:uniqueId val="{00000000-D0E9-4954-9C91-163CBB9B2E07}"/>
            </c:ext>
          </c:extLst>
        </c:ser>
        <c:dLbls>
          <c:showLegendKey val="0"/>
          <c:showVal val="0"/>
          <c:showCatName val="0"/>
          <c:showSerName val="0"/>
          <c:showPercent val="0"/>
          <c:showBubbleSize val="0"/>
        </c:dLbls>
        <c:gapWidth val="219"/>
        <c:overlap val="-27"/>
        <c:axId val="193614015"/>
        <c:axId val="193618815"/>
      </c:barChart>
      <c:catAx>
        <c:axId val="1936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8815"/>
        <c:crosses val="autoZero"/>
        <c:auto val="1"/>
        <c:lblAlgn val="ctr"/>
        <c:lblOffset val="100"/>
        <c:noMultiLvlLbl val="0"/>
      </c:catAx>
      <c:valAx>
        <c:axId val="19361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4.xlsx]Pivot!PivotTable3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cat>
            <c:strRef>
              <c:f>Pivot!$A$40:$A$46</c:f>
              <c:strCache>
                <c:ptCount val="6"/>
                <c:pt idx="0">
                  <c:v>Chair</c:v>
                </c:pt>
                <c:pt idx="1">
                  <c:v>Lamp</c:v>
                </c:pt>
                <c:pt idx="2">
                  <c:v>Laptop</c:v>
                </c:pt>
                <c:pt idx="3">
                  <c:v>Mobile</c:v>
                </c:pt>
                <c:pt idx="4">
                  <c:v>Printer</c:v>
                </c:pt>
                <c:pt idx="5">
                  <c:v>Table</c:v>
                </c:pt>
              </c:strCache>
            </c:strRef>
          </c:cat>
          <c:val>
            <c:numRef>
              <c:f>Pivot!$B$40:$B$46</c:f>
              <c:numCache>
                <c:formatCode>General</c:formatCode>
                <c:ptCount val="6"/>
                <c:pt idx="0">
                  <c:v>7500</c:v>
                </c:pt>
                <c:pt idx="1">
                  <c:v>11000</c:v>
                </c:pt>
                <c:pt idx="2">
                  <c:v>4000</c:v>
                </c:pt>
                <c:pt idx="3">
                  <c:v>4500</c:v>
                </c:pt>
                <c:pt idx="4">
                  <c:v>7000</c:v>
                </c:pt>
                <c:pt idx="5">
                  <c:v>2000</c:v>
                </c:pt>
              </c:numCache>
            </c:numRef>
          </c:val>
          <c:extLst>
            <c:ext xmlns:c16="http://schemas.microsoft.com/office/drawing/2014/chart" uri="{C3380CC4-5D6E-409C-BE32-E72D297353CC}">
              <c16:uniqueId val="{00000000-8DB9-4B68-B68E-0428CC0D8F85}"/>
            </c:ext>
          </c:extLst>
        </c:ser>
        <c:dLbls>
          <c:showLegendKey val="0"/>
          <c:showVal val="0"/>
          <c:showCatName val="0"/>
          <c:showSerName val="0"/>
          <c:showPercent val="0"/>
          <c:showBubbleSize val="0"/>
        </c:dLbls>
        <c:gapWidth val="182"/>
        <c:axId val="153862991"/>
        <c:axId val="153860111"/>
      </c:barChart>
      <c:catAx>
        <c:axId val="15386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0111"/>
        <c:crosses val="autoZero"/>
        <c:auto val="1"/>
        <c:lblAlgn val="ctr"/>
        <c:lblOffset val="100"/>
        <c:noMultiLvlLbl val="0"/>
      </c:catAx>
      <c:valAx>
        <c:axId val="153860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4.xlsx]Pivot!PivotTable4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s>
    <c:plotArea>
      <c:layout/>
      <c:pieChart>
        <c:varyColors val="1"/>
        <c:ser>
          <c:idx val="0"/>
          <c:order val="0"/>
          <c:tx>
            <c:strRef>
              <c:f>Pivot!$B$59:$B$60</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DC-4296-A125-9C4B68BED436}"/>
              </c:ext>
            </c:extLst>
          </c:dPt>
          <c:cat>
            <c:strRef>
              <c:f>Pivot!$A$61:$A$62</c:f>
              <c:strCache>
                <c:ptCount val="1"/>
                <c:pt idx="0">
                  <c:v>Furniture</c:v>
                </c:pt>
              </c:strCache>
            </c:strRef>
          </c:cat>
          <c:val>
            <c:numRef>
              <c:f>Pivot!$B$61:$B$62</c:f>
              <c:numCache>
                <c:formatCode>General</c:formatCode>
                <c:ptCount val="1"/>
                <c:pt idx="0">
                  <c:v>3500</c:v>
                </c:pt>
              </c:numCache>
            </c:numRef>
          </c:val>
          <c:extLst>
            <c:ext xmlns:c16="http://schemas.microsoft.com/office/drawing/2014/chart" uri="{C3380CC4-5D6E-409C-BE32-E72D297353CC}">
              <c16:uniqueId val="{00000000-D034-4994-8068-5E6010A3CD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4.xlsx]Pivot!PivotTable1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Pivot!$A$2:$A$9</c:f>
              <c:strCache>
                <c:ptCount val="7"/>
                <c:pt idx="0">
                  <c:v>Apr-2024</c:v>
                </c:pt>
                <c:pt idx="1">
                  <c:v>Feb-2024</c:v>
                </c:pt>
                <c:pt idx="2">
                  <c:v>Jan-2024</c:v>
                </c:pt>
                <c:pt idx="3">
                  <c:v>Jul-2024</c:v>
                </c:pt>
                <c:pt idx="4">
                  <c:v>Jun-2024</c:v>
                </c:pt>
                <c:pt idx="5">
                  <c:v>Mar-2024</c:v>
                </c:pt>
                <c:pt idx="6">
                  <c:v>May-2024</c:v>
                </c:pt>
              </c:strCache>
            </c:strRef>
          </c:cat>
          <c:val>
            <c:numRef>
              <c:f>Pivot!$B$2:$B$9</c:f>
              <c:numCache>
                <c:formatCode>General</c:formatCode>
                <c:ptCount val="7"/>
                <c:pt idx="0">
                  <c:v>7000</c:v>
                </c:pt>
                <c:pt idx="1">
                  <c:v>8000</c:v>
                </c:pt>
                <c:pt idx="2">
                  <c:v>6500</c:v>
                </c:pt>
                <c:pt idx="3">
                  <c:v>2000</c:v>
                </c:pt>
                <c:pt idx="4">
                  <c:v>3000</c:v>
                </c:pt>
                <c:pt idx="5">
                  <c:v>8000</c:v>
                </c:pt>
                <c:pt idx="6">
                  <c:v>1500</c:v>
                </c:pt>
              </c:numCache>
            </c:numRef>
          </c:val>
          <c:smooth val="0"/>
          <c:extLst>
            <c:ext xmlns:c16="http://schemas.microsoft.com/office/drawing/2014/chart" uri="{C3380CC4-5D6E-409C-BE32-E72D297353CC}">
              <c16:uniqueId val="{00000000-8B3D-41CA-A721-41DC49F6E108}"/>
            </c:ext>
          </c:extLst>
        </c:ser>
        <c:dLbls>
          <c:showLegendKey val="0"/>
          <c:showVal val="0"/>
          <c:showCatName val="0"/>
          <c:showSerName val="0"/>
          <c:showPercent val="0"/>
          <c:showBubbleSize val="0"/>
        </c:dLbls>
        <c:smooth val="0"/>
        <c:axId val="52490431"/>
        <c:axId val="52491391"/>
      </c:lineChart>
      <c:catAx>
        <c:axId val="5249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1391"/>
        <c:crosses val="autoZero"/>
        <c:auto val="1"/>
        <c:lblAlgn val="ctr"/>
        <c:lblOffset val="100"/>
        <c:noMultiLvlLbl val="0"/>
      </c:catAx>
      <c:valAx>
        <c:axId val="5249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4.xlsx]Pivot!PivotTable2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Weekday</a:t>
            </a:r>
            <a:r>
              <a:rPr lang="en-IN" baseline="0"/>
              <a:t> Sales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solidFill>
              <a:schemeClr val="accent1"/>
            </a:solidFill>
            <a:ln>
              <a:noFill/>
            </a:ln>
            <a:effectLst/>
          </c:spPr>
          <c:invertIfNegative val="0"/>
          <c:cat>
            <c:strRef>
              <c:f>Pivot!$A$22:$A$27</c:f>
              <c:strCache>
                <c:ptCount val="5"/>
                <c:pt idx="0">
                  <c:v>Monday</c:v>
                </c:pt>
                <c:pt idx="1">
                  <c:v>Wednesday</c:v>
                </c:pt>
                <c:pt idx="2">
                  <c:v>Thursday</c:v>
                </c:pt>
                <c:pt idx="3">
                  <c:v>Friday</c:v>
                </c:pt>
                <c:pt idx="4">
                  <c:v>Saturday</c:v>
                </c:pt>
              </c:strCache>
            </c:strRef>
          </c:cat>
          <c:val>
            <c:numRef>
              <c:f>Pivot!$B$22:$B$27</c:f>
              <c:numCache>
                <c:formatCode>General</c:formatCode>
                <c:ptCount val="5"/>
                <c:pt idx="0">
                  <c:v>3500</c:v>
                </c:pt>
                <c:pt idx="1">
                  <c:v>8000</c:v>
                </c:pt>
                <c:pt idx="2">
                  <c:v>7000</c:v>
                </c:pt>
                <c:pt idx="3">
                  <c:v>9000</c:v>
                </c:pt>
                <c:pt idx="4">
                  <c:v>8500</c:v>
                </c:pt>
              </c:numCache>
            </c:numRef>
          </c:val>
          <c:extLst>
            <c:ext xmlns:c16="http://schemas.microsoft.com/office/drawing/2014/chart" uri="{C3380CC4-5D6E-409C-BE32-E72D297353CC}">
              <c16:uniqueId val="{00000000-2F49-4EF1-AAE1-1B9707D23434}"/>
            </c:ext>
          </c:extLst>
        </c:ser>
        <c:dLbls>
          <c:showLegendKey val="0"/>
          <c:showVal val="0"/>
          <c:showCatName val="0"/>
          <c:showSerName val="0"/>
          <c:showPercent val="0"/>
          <c:showBubbleSize val="0"/>
        </c:dLbls>
        <c:gapWidth val="219"/>
        <c:overlap val="-27"/>
        <c:axId val="193614015"/>
        <c:axId val="193618815"/>
      </c:barChart>
      <c:catAx>
        <c:axId val="1936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8815"/>
        <c:crosses val="autoZero"/>
        <c:auto val="1"/>
        <c:lblAlgn val="ctr"/>
        <c:lblOffset val="100"/>
        <c:noMultiLvlLbl val="0"/>
      </c:catAx>
      <c:valAx>
        <c:axId val="19361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1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4.xlsx]Pivot!PivotTable3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cat>
            <c:strRef>
              <c:f>Pivot!$A$40:$A$46</c:f>
              <c:strCache>
                <c:ptCount val="6"/>
                <c:pt idx="0">
                  <c:v>Chair</c:v>
                </c:pt>
                <c:pt idx="1">
                  <c:v>Lamp</c:v>
                </c:pt>
                <c:pt idx="2">
                  <c:v>Laptop</c:v>
                </c:pt>
                <c:pt idx="3">
                  <c:v>Mobile</c:v>
                </c:pt>
                <c:pt idx="4">
                  <c:v>Printer</c:v>
                </c:pt>
                <c:pt idx="5">
                  <c:v>Table</c:v>
                </c:pt>
              </c:strCache>
            </c:strRef>
          </c:cat>
          <c:val>
            <c:numRef>
              <c:f>Pivot!$B$40:$B$46</c:f>
              <c:numCache>
                <c:formatCode>General</c:formatCode>
                <c:ptCount val="6"/>
                <c:pt idx="0">
                  <c:v>7500</c:v>
                </c:pt>
                <c:pt idx="1">
                  <c:v>11000</c:v>
                </c:pt>
                <c:pt idx="2">
                  <c:v>4000</c:v>
                </c:pt>
                <c:pt idx="3">
                  <c:v>4500</c:v>
                </c:pt>
                <c:pt idx="4">
                  <c:v>7000</c:v>
                </c:pt>
                <c:pt idx="5">
                  <c:v>2000</c:v>
                </c:pt>
              </c:numCache>
            </c:numRef>
          </c:val>
          <c:extLst>
            <c:ext xmlns:c16="http://schemas.microsoft.com/office/drawing/2014/chart" uri="{C3380CC4-5D6E-409C-BE32-E72D297353CC}">
              <c16:uniqueId val="{00000000-5F49-4F13-BE5D-F59565019983}"/>
            </c:ext>
          </c:extLst>
        </c:ser>
        <c:dLbls>
          <c:showLegendKey val="0"/>
          <c:showVal val="0"/>
          <c:showCatName val="0"/>
          <c:showSerName val="0"/>
          <c:showPercent val="0"/>
          <c:showBubbleSize val="0"/>
        </c:dLbls>
        <c:gapWidth val="182"/>
        <c:axId val="153862991"/>
        <c:axId val="153860111"/>
      </c:barChart>
      <c:catAx>
        <c:axId val="15386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0111"/>
        <c:crosses val="autoZero"/>
        <c:auto val="1"/>
        <c:lblAlgn val="ctr"/>
        <c:lblOffset val="100"/>
        <c:noMultiLvlLbl val="0"/>
      </c:catAx>
      <c:valAx>
        <c:axId val="153860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4.xlsx]Pivot!PivotTable4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Contribution by Category and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Pivot!$B$59:$B$60</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73-412C-B130-069034EE06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73-412C-B130-069034EE06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73-412C-B130-069034EE06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73-412C-B130-069034EE06AF}"/>
              </c:ext>
            </c:extLst>
          </c:dPt>
          <c:cat>
            <c:strRef>
              <c:f>Pivot!$A$61:$A$62</c:f>
              <c:strCache>
                <c:ptCount val="1"/>
                <c:pt idx="0">
                  <c:v>Furniture</c:v>
                </c:pt>
              </c:strCache>
            </c:strRef>
          </c:cat>
          <c:val>
            <c:numRef>
              <c:f>Pivot!$B$61:$B$62</c:f>
              <c:numCache>
                <c:formatCode>General</c:formatCode>
                <c:ptCount val="1"/>
                <c:pt idx="0">
                  <c:v>3500</c:v>
                </c:pt>
              </c:numCache>
            </c:numRef>
          </c:val>
          <c:extLst>
            <c:ext xmlns:c16="http://schemas.microsoft.com/office/drawing/2014/chart" uri="{C3380CC4-5D6E-409C-BE32-E72D297353CC}">
              <c16:uniqueId val="{00000008-8A73-412C-B130-069034EE06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9</xdr:col>
      <xdr:colOff>304800</xdr:colOff>
      <xdr:row>16</xdr:row>
      <xdr:rowOff>57150</xdr:rowOff>
    </xdr:to>
    <xdr:graphicFrame macro="">
      <xdr:nvGraphicFramePr>
        <xdr:cNvPr id="3" name="Chart 2">
          <a:extLst>
            <a:ext uri="{FF2B5EF4-FFF2-40B4-BE49-F238E27FC236}">
              <a16:creationId xmlns:a16="http://schemas.microsoft.com/office/drawing/2014/main" id="{C365D655-9551-A10F-884A-FF082686E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19</xdr:row>
      <xdr:rowOff>95250</xdr:rowOff>
    </xdr:from>
    <xdr:to>
      <xdr:col>9</xdr:col>
      <xdr:colOff>419100</xdr:colOff>
      <xdr:row>34</xdr:row>
      <xdr:rowOff>95250</xdr:rowOff>
    </xdr:to>
    <xdr:graphicFrame macro="">
      <xdr:nvGraphicFramePr>
        <xdr:cNvPr id="4" name="Chart 3">
          <a:extLst>
            <a:ext uri="{FF2B5EF4-FFF2-40B4-BE49-F238E27FC236}">
              <a16:creationId xmlns:a16="http://schemas.microsoft.com/office/drawing/2014/main" id="{B08AE088-FB13-803B-484E-E4368DE5C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37</xdr:row>
      <xdr:rowOff>163830</xdr:rowOff>
    </xdr:from>
    <xdr:to>
      <xdr:col>10</xdr:col>
      <xdr:colOff>152400</xdr:colOff>
      <xdr:row>52</xdr:row>
      <xdr:rowOff>163830</xdr:rowOff>
    </xdr:to>
    <xdr:graphicFrame macro="">
      <xdr:nvGraphicFramePr>
        <xdr:cNvPr id="5" name="Chart 4">
          <a:extLst>
            <a:ext uri="{FF2B5EF4-FFF2-40B4-BE49-F238E27FC236}">
              <a16:creationId xmlns:a16="http://schemas.microsoft.com/office/drawing/2014/main" id="{C63F1C59-50A6-408D-73B2-B46DD9F86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53</xdr:row>
      <xdr:rowOff>80010</xdr:rowOff>
    </xdr:from>
    <xdr:to>
      <xdr:col>15</xdr:col>
      <xdr:colOff>0</xdr:colOff>
      <xdr:row>68</xdr:row>
      <xdr:rowOff>80010</xdr:rowOff>
    </xdr:to>
    <xdr:graphicFrame macro="">
      <xdr:nvGraphicFramePr>
        <xdr:cNvPr id="6" name="Chart 5">
          <a:extLst>
            <a:ext uri="{FF2B5EF4-FFF2-40B4-BE49-F238E27FC236}">
              <a16:creationId xmlns:a16="http://schemas.microsoft.com/office/drawing/2014/main" id="{BD2B6184-88E3-6CFC-5126-2E4A76F60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6</xdr:row>
      <xdr:rowOff>0</xdr:rowOff>
    </xdr:from>
    <xdr:to>
      <xdr:col>9</xdr:col>
      <xdr:colOff>304800</xdr:colOff>
      <xdr:row>21</xdr:row>
      <xdr:rowOff>0</xdr:rowOff>
    </xdr:to>
    <xdr:graphicFrame macro="">
      <xdr:nvGraphicFramePr>
        <xdr:cNvPr id="2" name="Chart 1">
          <a:extLst>
            <a:ext uri="{FF2B5EF4-FFF2-40B4-BE49-F238E27FC236}">
              <a16:creationId xmlns:a16="http://schemas.microsoft.com/office/drawing/2014/main" id="{7B44EB50-88BC-41DD-884A-478502621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22</xdr:row>
      <xdr:rowOff>152400</xdr:rowOff>
    </xdr:from>
    <xdr:to>
      <xdr:col>9</xdr:col>
      <xdr:colOff>304800</xdr:colOff>
      <xdr:row>37</xdr:row>
      <xdr:rowOff>152400</xdr:rowOff>
    </xdr:to>
    <xdr:graphicFrame macro="">
      <xdr:nvGraphicFramePr>
        <xdr:cNvPr id="5" name="Chart 4">
          <a:extLst>
            <a:ext uri="{FF2B5EF4-FFF2-40B4-BE49-F238E27FC236}">
              <a16:creationId xmlns:a16="http://schemas.microsoft.com/office/drawing/2014/main" id="{6268E91A-A257-4566-8091-7F60DAA5E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xdr:row>
      <xdr:rowOff>0</xdr:rowOff>
    </xdr:from>
    <xdr:to>
      <xdr:col>20</xdr:col>
      <xdr:colOff>304800</xdr:colOff>
      <xdr:row>24</xdr:row>
      <xdr:rowOff>0</xdr:rowOff>
    </xdr:to>
    <xdr:graphicFrame macro="">
      <xdr:nvGraphicFramePr>
        <xdr:cNvPr id="6" name="Chart 5">
          <a:extLst>
            <a:ext uri="{FF2B5EF4-FFF2-40B4-BE49-F238E27FC236}">
              <a16:creationId xmlns:a16="http://schemas.microsoft.com/office/drawing/2014/main" id="{87E5E8DA-7959-431E-9865-DA39BEB37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31</xdr:row>
      <xdr:rowOff>0</xdr:rowOff>
    </xdr:from>
    <xdr:to>
      <xdr:col>20</xdr:col>
      <xdr:colOff>304800</xdr:colOff>
      <xdr:row>46</xdr:row>
      <xdr:rowOff>0</xdr:rowOff>
    </xdr:to>
    <xdr:graphicFrame macro="">
      <xdr:nvGraphicFramePr>
        <xdr:cNvPr id="7" name="Chart 6">
          <a:extLst>
            <a:ext uri="{FF2B5EF4-FFF2-40B4-BE49-F238E27FC236}">
              <a16:creationId xmlns:a16="http://schemas.microsoft.com/office/drawing/2014/main" id="{30B39E58-92F8-4A27-B375-58CF8B60F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7620</xdr:colOff>
      <xdr:row>42</xdr:row>
      <xdr:rowOff>129540</xdr:rowOff>
    </xdr:from>
    <xdr:to>
      <xdr:col>8</xdr:col>
      <xdr:colOff>7620</xdr:colOff>
      <xdr:row>56</xdr:row>
      <xdr:rowOff>150495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C114BF21-1E16-AD21-B5DB-338D4FF785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55620" y="781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31</xdr:row>
      <xdr:rowOff>83820</xdr:rowOff>
    </xdr:from>
    <xdr:to>
      <xdr:col>22</xdr:col>
      <xdr:colOff>579120</xdr:colOff>
      <xdr:row>45</xdr:row>
      <xdr:rowOff>104775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3457BC63-E290-7704-11F9-292171F05CA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161520" y="5753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518160</xdr:colOff>
      <xdr:row>38</xdr:row>
      <xdr:rowOff>114300</xdr:rowOff>
    </xdr:from>
    <xdr:to>
      <xdr:col>22</xdr:col>
      <xdr:colOff>518160</xdr:colOff>
      <xdr:row>52</xdr:row>
      <xdr:rowOff>135255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B8E03D1E-D1DA-3BD6-128F-36261B53F9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00560" y="7063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K.S" refreshedDate="46063.015894675926" createdVersion="8" refreshedVersion="8" minRefreshableVersion="3" recordCount="10" xr:uid="{E4836081-1F32-42A5-B5AF-038FF1288829}">
  <cacheSource type="worksheet">
    <worksheetSource name="Table156"/>
  </cacheSource>
  <cacheFields count="11">
    <cacheField name="Order ID" numFmtId="0">
      <sharedItems containsSemiMixedTypes="0" containsString="0" containsNumber="1" containsInteger="1" minValue="1001" maxValue="1010" count="10">
        <n v="1001"/>
        <n v="1002"/>
        <n v="1003"/>
        <n v="1004"/>
        <n v="1005"/>
        <n v="1006"/>
        <n v="1007"/>
        <n v="1008"/>
        <n v="1009"/>
        <n v="1010"/>
      </sharedItems>
    </cacheField>
    <cacheField name="Order Date " numFmtId="14">
      <sharedItems containsSemiMixedTypes="0" containsNonDate="0" containsDate="1" containsString="0" minDate="2024-01-05T00:00:00" maxDate="2024-07-30T00:00:00" count="10">
        <d v="2024-01-05T00:00:00"/>
        <d v="2024-01-06T00:00:00"/>
        <d v="2024-02-10T00:00:00"/>
        <d v="2024-02-15T00:00:00"/>
        <d v="2024-03-20T00:00:00"/>
        <d v="2024-04-25T00:00:00"/>
        <d v="2024-04-26T00:00:00"/>
        <d v="2024-05-27T00:00:00"/>
        <d v="2024-06-28T00:00:00"/>
        <d v="2024-07-29T00:00:00"/>
      </sharedItems>
    </cacheField>
    <cacheField name="Product ID" numFmtId="0">
      <sharedItems count="6">
        <s v="P101"/>
        <s v="P102"/>
        <s v="P103"/>
        <s v="P104"/>
        <s v="P105"/>
        <s v="P106"/>
      </sharedItems>
    </cacheField>
    <cacheField name="Region ID" numFmtId="0">
      <sharedItems count="4">
        <s v="R1"/>
        <s v="R2"/>
        <s v="R3"/>
        <s v="R4"/>
      </sharedItems>
    </cacheField>
    <cacheField name="Quantity" numFmtId="0">
      <sharedItems containsSemiMixedTypes="0" containsString="0" containsNumber="1" containsInteger="1" minValue="1" maxValue="9" count="7">
        <n v="2"/>
        <n v="1"/>
        <n v="3"/>
        <n v="6"/>
        <n v="4"/>
        <n v="9"/>
        <n v="8"/>
      </sharedItems>
    </cacheField>
    <cacheField name="Sales Amount" numFmtId="0">
      <sharedItems containsSemiMixedTypes="0" containsString="0" containsNumber="1" containsInteger="1" minValue="1500" maxValue="8000" count="8">
        <n v="4000"/>
        <n v="2500"/>
        <n v="6000"/>
        <n v="2000"/>
        <n v="8000"/>
        <n v="5000"/>
        <n v="1500"/>
        <n v="3000"/>
      </sharedItems>
    </cacheField>
    <cacheField name="Month" numFmtId="0">
      <sharedItems count="7">
        <s v="Jan-2024"/>
        <s v="Feb-2024"/>
        <s v="Mar-2024"/>
        <s v="Apr-2024"/>
        <s v="May-2024"/>
        <s v="Jun-2024"/>
        <s v="Jul-2024"/>
      </sharedItems>
    </cacheField>
    <cacheField name="Weekday" numFmtId="0">
      <sharedItems count="5">
        <s v="Friday"/>
        <s v="Saturday"/>
        <s v="Thursday"/>
        <s v="Wednesday"/>
        <s v="Monday"/>
      </sharedItems>
    </cacheField>
    <cacheField name="Product Name" numFmtId="0">
      <sharedItems count="6">
        <s v="Laptop"/>
        <s v="Mobile"/>
        <s v="Chair"/>
        <s v="Table"/>
        <s v="Lamp"/>
        <s v="Printer"/>
      </sharedItems>
    </cacheField>
    <cacheField name="Category" numFmtId="0">
      <sharedItems count="3">
        <s v="Electronics"/>
        <s v="Furniture"/>
        <s v="Home"/>
      </sharedItems>
    </cacheField>
    <cacheField name="Region" numFmtId="0">
      <sharedItems count="4">
        <s v="North"/>
        <s v="South"/>
        <s v="West"/>
        <s v="East"/>
      </sharedItems>
    </cacheField>
  </cacheFields>
  <extLst>
    <ext xmlns:x14="http://schemas.microsoft.com/office/spreadsheetml/2009/9/main" uri="{725AE2AE-9491-48be-B2B4-4EB974FC3084}">
      <x14:pivotCacheDefinition pivotCacheId="21222943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K.S" refreshedDate="46068.726101851855" createdVersion="8" refreshedVersion="8" minRefreshableVersion="3" recordCount="21" xr:uid="{1E2B8549-F35B-4593-9576-89B7503479AA}">
  <cacheSource type="worksheet">
    <worksheetSource ref="A1:K22" sheet="sales"/>
  </cacheSource>
  <cacheFields count="11">
    <cacheField name="Order ID" numFmtId="0">
      <sharedItems containsBlank="1" containsMixedTypes="1" containsNumber="1" containsInteger="1" minValue="1001" maxValue="1010"/>
    </cacheField>
    <cacheField name="Order Date " numFmtId="0">
      <sharedItems containsDate="1" containsBlank="1" containsMixedTypes="1" minDate="2024-01-05T00:00:00" maxDate="2024-07-30T00:00:00"/>
    </cacheField>
    <cacheField name="Product ID" numFmtId="0">
      <sharedItems containsBlank="1"/>
    </cacheField>
    <cacheField name="Region ID" numFmtId="0">
      <sharedItems containsBlank="1"/>
    </cacheField>
    <cacheField name="Quantity" numFmtId="0">
      <sharedItems containsString="0" containsBlank="1" containsNumber="1" containsInteger="1" minValue="1" maxValue="9"/>
    </cacheField>
    <cacheField name="Sales Amount" numFmtId="0">
      <sharedItems containsString="0" containsBlank="1" containsNumber="1" containsInteger="1" minValue="1500" maxValue="8000"/>
    </cacheField>
    <cacheField name="Month" numFmtId="0">
      <sharedItems containsBlank="1"/>
    </cacheField>
    <cacheField name="Weekday" numFmtId="0">
      <sharedItems containsBlank="1"/>
    </cacheField>
    <cacheField name="Product Name" numFmtId="0">
      <sharedItems containsBlank="1" count="7">
        <s v="Laptop"/>
        <s v="Mobile"/>
        <s v="Chair"/>
        <s v="Table"/>
        <s v="Lamp"/>
        <s v="Printer"/>
        <m/>
      </sharedItems>
    </cacheField>
    <cacheField name="Category" numFmtId="0">
      <sharedItems containsBlank="1"/>
    </cacheField>
    <cacheField name="Region"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K.S" refreshedDate="46068.73471365741" createdVersion="8" refreshedVersion="8" minRefreshableVersion="3" recordCount="29" xr:uid="{9BC8F2D2-CC89-4B0E-BEAF-A3EB5512515C}">
  <cacheSource type="worksheet">
    <worksheetSource ref="A1:K30" sheet="sales"/>
  </cacheSource>
  <cacheFields count="11">
    <cacheField name="Order ID" numFmtId="0">
      <sharedItems containsBlank="1" containsMixedTypes="1" containsNumber="1" containsInteger="1" minValue="1001" maxValue="1010"/>
    </cacheField>
    <cacheField name="Order Date " numFmtId="0">
      <sharedItems containsDate="1" containsBlank="1" containsMixedTypes="1" minDate="2024-01-05T00:00:00" maxDate="2024-07-30T00:00:00"/>
    </cacheField>
    <cacheField name="Product ID" numFmtId="0">
      <sharedItems containsBlank="1"/>
    </cacheField>
    <cacheField name="Region ID" numFmtId="0">
      <sharedItems containsBlank="1"/>
    </cacheField>
    <cacheField name="Quantity" numFmtId="0">
      <sharedItems containsString="0" containsBlank="1" containsNumber="1" containsInteger="1" minValue="1" maxValue="9"/>
    </cacheField>
    <cacheField name="Sales Amount" numFmtId="0">
      <sharedItems containsString="0" containsBlank="1" containsNumber="1" containsInteger="1" minValue="1500" maxValue="8000"/>
    </cacheField>
    <cacheField name="Month" numFmtId="0">
      <sharedItems containsBlank="1" count="8">
        <s v="Jan-2024"/>
        <s v="Feb-2024"/>
        <s v="Mar-2024"/>
        <s v="Apr-2024"/>
        <s v="May-2024"/>
        <s v="Jun-2024"/>
        <s v="Jul-2024"/>
        <m/>
      </sharedItems>
    </cacheField>
    <cacheField name="Weekday" numFmtId="0">
      <sharedItems containsBlank="1"/>
    </cacheField>
    <cacheField name="Product Name" numFmtId="0">
      <sharedItems containsBlank="1"/>
    </cacheField>
    <cacheField name="Category" numFmtId="0">
      <sharedItems containsBlank="1" count="4">
        <s v="Electronics"/>
        <s v="Furniture"/>
        <s v="Home"/>
        <m/>
      </sharedItems>
    </cacheField>
    <cacheField name="Region" numFmtId="0">
      <sharedItems containsBlank="1" count="5">
        <s v="North"/>
        <s v="South"/>
        <s v="West"/>
        <s v="East"/>
        <m/>
      </sharedItems>
    </cacheField>
  </cacheFields>
  <extLst>
    <ext xmlns:x14="http://schemas.microsoft.com/office/spreadsheetml/2009/9/main" uri="{725AE2AE-9491-48be-B2B4-4EB974FC3084}">
      <x14:pivotCacheDefinition pivotCacheId="2133575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x v="0"/>
    <x v="0"/>
    <x v="0"/>
    <x v="0"/>
    <x v="0"/>
    <x v="0"/>
  </r>
  <r>
    <x v="1"/>
    <x v="1"/>
    <x v="1"/>
    <x v="1"/>
    <x v="1"/>
    <x v="1"/>
    <x v="0"/>
    <x v="1"/>
    <x v="1"/>
    <x v="0"/>
    <x v="1"/>
  </r>
  <r>
    <x v="2"/>
    <x v="2"/>
    <x v="2"/>
    <x v="0"/>
    <x v="2"/>
    <x v="2"/>
    <x v="1"/>
    <x v="1"/>
    <x v="2"/>
    <x v="1"/>
    <x v="0"/>
  </r>
  <r>
    <x v="3"/>
    <x v="3"/>
    <x v="3"/>
    <x v="2"/>
    <x v="3"/>
    <x v="3"/>
    <x v="1"/>
    <x v="2"/>
    <x v="3"/>
    <x v="1"/>
    <x v="2"/>
  </r>
  <r>
    <x v="4"/>
    <x v="4"/>
    <x v="4"/>
    <x v="1"/>
    <x v="4"/>
    <x v="4"/>
    <x v="2"/>
    <x v="3"/>
    <x v="4"/>
    <x v="2"/>
    <x v="1"/>
  </r>
  <r>
    <x v="5"/>
    <x v="5"/>
    <x v="5"/>
    <x v="0"/>
    <x v="5"/>
    <x v="5"/>
    <x v="3"/>
    <x v="2"/>
    <x v="5"/>
    <x v="0"/>
    <x v="0"/>
  </r>
  <r>
    <x v="6"/>
    <x v="6"/>
    <x v="1"/>
    <x v="3"/>
    <x v="0"/>
    <x v="3"/>
    <x v="3"/>
    <x v="0"/>
    <x v="1"/>
    <x v="0"/>
    <x v="3"/>
  </r>
  <r>
    <x v="7"/>
    <x v="7"/>
    <x v="2"/>
    <x v="2"/>
    <x v="6"/>
    <x v="6"/>
    <x v="4"/>
    <x v="4"/>
    <x v="2"/>
    <x v="1"/>
    <x v="2"/>
  </r>
  <r>
    <x v="8"/>
    <x v="8"/>
    <x v="4"/>
    <x v="0"/>
    <x v="2"/>
    <x v="7"/>
    <x v="5"/>
    <x v="0"/>
    <x v="4"/>
    <x v="2"/>
    <x v="0"/>
  </r>
  <r>
    <x v="9"/>
    <x v="9"/>
    <x v="5"/>
    <x v="2"/>
    <x v="0"/>
    <x v="3"/>
    <x v="6"/>
    <x v="4"/>
    <x v="5"/>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n v="1001"/>
    <d v="2024-01-05T00:00:00"/>
    <s v="P101"/>
    <s v="R1"/>
    <n v="2"/>
    <n v="4000"/>
    <s v="Jan-2024"/>
    <s v="Friday"/>
    <x v="0"/>
    <s v="Electronics"/>
    <s v="North"/>
  </r>
  <r>
    <n v="1002"/>
    <d v="2024-01-06T00:00:00"/>
    <s v="P102"/>
    <s v="R2"/>
    <n v="1"/>
    <n v="2500"/>
    <s v="Jan-2024"/>
    <s v="Saturday"/>
    <x v="1"/>
    <s v="Electronics"/>
    <s v="South"/>
  </r>
  <r>
    <n v="1003"/>
    <d v="2024-02-10T00:00:00"/>
    <s v="P103"/>
    <s v="R1"/>
    <n v="3"/>
    <n v="6000"/>
    <s v="Feb-2024"/>
    <s v="Saturday"/>
    <x v="2"/>
    <s v="Furniture"/>
    <s v="North"/>
  </r>
  <r>
    <n v="1004"/>
    <d v="2024-02-15T00:00:00"/>
    <s v="P104"/>
    <s v="R3"/>
    <n v="6"/>
    <n v="2000"/>
    <s v="Feb-2024"/>
    <s v="Thursday"/>
    <x v="3"/>
    <s v="Furniture"/>
    <s v="West"/>
  </r>
  <r>
    <n v="1005"/>
    <d v="2024-03-20T00:00:00"/>
    <s v="P105"/>
    <s v="R2"/>
    <n v="4"/>
    <n v="8000"/>
    <s v="Mar-2024"/>
    <s v="Wednesday"/>
    <x v="4"/>
    <s v="Home"/>
    <s v="South"/>
  </r>
  <r>
    <n v="1006"/>
    <d v="2024-04-25T00:00:00"/>
    <s v="P106"/>
    <s v="R1"/>
    <n v="9"/>
    <n v="5000"/>
    <s v="Apr-2024"/>
    <s v="Thursday"/>
    <x v="5"/>
    <s v="Electronics"/>
    <s v="North"/>
  </r>
  <r>
    <n v="1007"/>
    <d v="2024-04-26T00:00:00"/>
    <s v="P102"/>
    <s v="R4"/>
    <n v="2"/>
    <n v="2000"/>
    <s v="Apr-2024"/>
    <s v="Friday"/>
    <x v="1"/>
    <s v="Electronics"/>
    <s v="East"/>
  </r>
  <r>
    <n v="1008"/>
    <d v="2024-05-27T00:00:00"/>
    <s v="P103"/>
    <s v="R3"/>
    <n v="8"/>
    <n v="1500"/>
    <s v="May-2024"/>
    <s v="Monday"/>
    <x v="2"/>
    <s v="Furniture"/>
    <s v="West"/>
  </r>
  <r>
    <n v="1009"/>
    <d v="2024-06-28T00:00:00"/>
    <s v="P105"/>
    <s v="R1"/>
    <n v="3"/>
    <n v="3000"/>
    <s v="Jun-2024"/>
    <s v="Friday"/>
    <x v="4"/>
    <s v="Home"/>
    <s v="North"/>
  </r>
  <r>
    <n v="1010"/>
    <d v="2024-07-29T00:00:00"/>
    <s v="P106"/>
    <s v="R3"/>
    <n v="2"/>
    <n v="2000"/>
    <s v="Jul-2024"/>
    <s v="Monday"/>
    <x v="5"/>
    <s v="Electronics"/>
    <s v="West"/>
  </r>
  <r>
    <m/>
    <m/>
    <m/>
    <m/>
    <m/>
    <m/>
    <m/>
    <m/>
    <x v="6"/>
    <m/>
    <m/>
  </r>
  <r>
    <m/>
    <m/>
    <m/>
    <m/>
    <m/>
    <m/>
    <m/>
    <m/>
    <x v="6"/>
    <m/>
    <m/>
  </r>
  <r>
    <m/>
    <m/>
    <m/>
    <m/>
    <m/>
    <m/>
    <m/>
    <m/>
    <x v="6"/>
    <m/>
    <m/>
  </r>
  <r>
    <m/>
    <m/>
    <m/>
    <m/>
    <m/>
    <m/>
    <m/>
    <m/>
    <x v="6"/>
    <m/>
    <m/>
  </r>
  <r>
    <s v="Product ID "/>
    <s v="Product Name"/>
    <s v="Category"/>
    <m/>
    <m/>
    <m/>
    <m/>
    <m/>
    <x v="6"/>
    <m/>
    <m/>
  </r>
  <r>
    <s v="P101"/>
    <s v="Laptop"/>
    <s v="Electronics"/>
    <m/>
    <m/>
    <m/>
    <m/>
    <m/>
    <x v="6"/>
    <m/>
    <m/>
  </r>
  <r>
    <s v="P102"/>
    <s v="Mobile"/>
    <s v="Electronics"/>
    <m/>
    <m/>
    <m/>
    <m/>
    <m/>
    <x v="6"/>
    <m/>
    <m/>
  </r>
  <r>
    <s v="P103"/>
    <s v="Chair"/>
    <s v="Furniture"/>
    <m/>
    <m/>
    <m/>
    <m/>
    <m/>
    <x v="6"/>
    <m/>
    <m/>
  </r>
  <r>
    <s v="P104"/>
    <s v="Table"/>
    <s v="Furniture"/>
    <m/>
    <m/>
    <m/>
    <m/>
    <m/>
    <x v="6"/>
    <m/>
    <m/>
  </r>
  <r>
    <s v="P105"/>
    <s v="Lamp"/>
    <s v="Home"/>
    <m/>
    <m/>
    <m/>
    <m/>
    <m/>
    <x v="6"/>
    <m/>
    <m/>
  </r>
  <r>
    <s v="P106"/>
    <s v="Printer"/>
    <s v="Electronics"/>
    <m/>
    <m/>
    <m/>
    <m/>
    <m/>
    <x v="6"/>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001"/>
    <d v="2024-01-05T00:00:00"/>
    <s v="P101"/>
    <s v="R1"/>
    <n v="2"/>
    <n v="4000"/>
    <x v="0"/>
    <s v="Friday"/>
    <s v="Laptop"/>
    <x v="0"/>
    <x v="0"/>
  </r>
  <r>
    <n v="1002"/>
    <d v="2024-01-06T00:00:00"/>
    <s v="P102"/>
    <s v="R2"/>
    <n v="1"/>
    <n v="2500"/>
    <x v="0"/>
    <s v="Saturday"/>
    <s v="Mobile"/>
    <x v="0"/>
    <x v="1"/>
  </r>
  <r>
    <n v="1003"/>
    <d v="2024-02-10T00:00:00"/>
    <s v="P103"/>
    <s v="R1"/>
    <n v="3"/>
    <n v="6000"/>
    <x v="1"/>
    <s v="Saturday"/>
    <s v="Chair"/>
    <x v="1"/>
    <x v="0"/>
  </r>
  <r>
    <n v="1004"/>
    <d v="2024-02-15T00:00:00"/>
    <s v="P104"/>
    <s v="R3"/>
    <n v="6"/>
    <n v="2000"/>
    <x v="1"/>
    <s v="Thursday"/>
    <s v="Table"/>
    <x v="1"/>
    <x v="2"/>
  </r>
  <r>
    <n v="1005"/>
    <d v="2024-03-20T00:00:00"/>
    <s v="P105"/>
    <s v="R2"/>
    <n v="4"/>
    <n v="8000"/>
    <x v="2"/>
    <s v="Wednesday"/>
    <s v="Lamp"/>
    <x v="2"/>
    <x v="1"/>
  </r>
  <r>
    <n v="1006"/>
    <d v="2024-04-25T00:00:00"/>
    <s v="P106"/>
    <s v="R1"/>
    <n v="9"/>
    <n v="5000"/>
    <x v="3"/>
    <s v="Thursday"/>
    <s v="Printer"/>
    <x v="0"/>
    <x v="0"/>
  </r>
  <r>
    <n v="1007"/>
    <d v="2024-04-26T00:00:00"/>
    <s v="P102"/>
    <s v="R4"/>
    <n v="2"/>
    <n v="2000"/>
    <x v="3"/>
    <s v="Friday"/>
    <s v="Mobile"/>
    <x v="0"/>
    <x v="3"/>
  </r>
  <r>
    <n v="1008"/>
    <d v="2024-05-27T00:00:00"/>
    <s v="P103"/>
    <s v="R3"/>
    <n v="8"/>
    <n v="1500"/>
    <x v="4"/>
    <s v="Monday"/>
    <s v="Chair"/>
    <x v="1"/>
    <x v="2"/>
  </r>
  <r>
    <n v="1009"/>
    <d v="2024-06-28T00:00:00"/>
    <s v="P105"/>
    <s v="R1"/>
    <n v="3"/>
    <n v="3000"/>
    <x v="5"/>
    <s v="Friday"/>
    <s v="Lamp"/>
    <x v="2"/>
    <x v="0"/>
  </r>
  <r>
    <n v="1010"/>
    <d v="2024-07-29T00:00:00"/>
    <s v="P106"/>
    <s v="R3"/>
    <n v="2"/>
    <n v="2000"/>
    <x v="6"/>
    <s v="Monday"/>
    <s v="Printer"/>
    <x v="0"/>
    <x v="2"/>
  </r>
  <r>
    <m/>
    <m/>
    <m/>
    <m/>
    <m/>
    <m/>
    <x v="7"/>
    <m/>
    <m/>
    <x v="3"/>
    <x v="4"/>
  </r>
  <r>
    <m/>
    <m/>
    <m/>
    <m/>
    <m/>
    <m/>
    <x v="7"/>
    <m/>
    <m/>
    <x v="3"/>
    <x v="4"/>
  </r>
  <r>
    <m/>
    <m/>
    <m/>
    <m/>
    <m/>
    <m/>
    <x v="7"/>
    <m/>
    <m/>
    <x v="3"/>
    <x v="4"/>
  </r>
  <r>
    <m/>
    <m/>
    <m/>
    <m/>
    <m/>
    <m/>
    <x v="7"/>
    <m/>
    <m/>
    <x v="3"/>
    <x v="4"/>
  </r>
  <r>
    <s v="Product ID "/>
    <s v="Product Name"/>
    <s v="Category"/>
    <m/>
    <m/>
    <m/>
    <x v="7"/>
    <m/>
    <m/>
    <x v="3"/>
    <x v="4"/>
  </r>
  <r>
    <s v="P101"/>
    <s v="Laptop"/>
    <s v="Electronics"/>
    <m/>
    <m/>
    <m/>
    <x v="7"/>
    <m/>
    <m/>
    <x v="3"/>
    <x v="4"/>
  </r>
  <r>
    <s v="P102"/>
    <s v="Mobile"/>
    <s v="Electronics"/>
    <m/>
    <m/>
    <m/>
    <x v="7"/>
    <m/>
    <m/>
    <x v="3"/>
    <x v="4"/>
  </r>
  <r>
    <s v="P103"/>
    <s v="Chair"/>
    <s v="Furniture"/>
    <m/>
    <m/>
    <m/>
    <x v="7"/>
    <m/>
    <m/>
    <x v="3"/>
    <x v="4"/>
  </r>
  <r>
    <s v="P104"/>
    <s v="Table"/>
    <s v="Furniture"/>
    <m/>
    <m/>
    <m/>
    <x v="7"/>
    <m/>
    <m/>
    <x v="3"/>
    <x v="4"/>
  </r>
  <r>
    <s v="P105"/>
    <s v="Lamp"/>
    <s v="Home"/>
    <m/>
    <m/>
    <m/>
    <x v="7"/>
    <m/>
    <m/>
    <x v="3"/>
    <x v="4"/>
  </r>
  <r>
    <s v="P106"/>
    <s v="Printer"/>
    <s v="Electronics"/>
    <m/>
    <m/>
    <m/>
    <x v="7"/>
    <m/>
    <m/>
    <x v="3"/>
    <x v="4"/>
  </r>
  <r>
    <m/>
    <m/>
    <m/>
    <m/>
    <m/>
    <m/>
    <x v="7"/>
    <m/>
    <m/>
    <x v="3"/>
    <x v="4"/>
  </r>
  <r>
    <m/>
    <m/>
    <m/>
    <m/>
    <m/>
    <m/>
    <x v="7"/>
    <m/>
    <m/>
    <x v="3"/>
    <x v="4"/>
  </r>
  <r>
    <m/>
    <m/>
    <m/>
    <m/>
    <m/>
    <m/>
    <x v="7"/>
    <m/>
    <m/>
    <x v="3"/>
    <x v="4"/>
  </r>
  <r>
    <s v="Region ID"/>
    <s v="Region Name"/>
    <m/>
    <m/>
    <m/>
    <m/>
    <x v="7"/>
    <m/>
    <m/>
    <x v="3"/>
    <x v="4"/>
  </r>
  <r>
    <s v="R1"/>
    <s v="North"/>
    <m/>
    <m/>
    <m/>
    <m/>
    <x v="7"/>
    <m/>
    <m/>
    <x v="3"/>
    <x v="4"/>
  </r>
  <r>
    <s v="R2"/>
    <s v="South"/>
    <m/>
    <m/>
    <m/>
    <m/>
    <x v="7"/>
    <m/>
    <m/>
    <x v="3"/>
    <x v="4"/>
  </r>
  <r>
    <s v="R3"/>
    <s v="West"/>
    <m/>
    <m/>
    <m/>
    <m/>
    <x v="7"/>
    <m/>
    <m/>
    <x v="3"/>
    <x v="4"/>
  </r>
  <r>
    <s v="R4"/>
    <s v="East"/>
    <m/>
    <m/>
    <m/>
    <m/>
    <x v="7"/>
    <m/>
    <m/>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1B985C-C72D-471F-A8EE-315034334B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7" firstHeaderRow="1" firstDataRow="1" firstDataCol="1"/>
  <pivotFields count="11">
    <pivotField showAll="0"/>
    <pivotField numFmtId="14" showAll="0"/>
    <pivotField showAll="0"/>
    <pivotField showAll="0"/>
    <pivotField showAll="0"/>
    <pivotField dataField="1" showAll="0"/>
    <pivotField showAll="0"/>
    <pivotField axis="axisRow" showAll="0">
      <items count="6">
        <item x="4"/>
        <item x="3"/>
        <item x="2"/>
        <item x="0"/>
        <item x="1"/>
        <item t="default"/>
      </items>
    </pivotField>
    <pivotField showAll="0"/>
    <pivotField showAll="0"/>
    <pivotField showAll="0"/>
  </pivotFields>
  <rowFields count="1">
    <field x="7"/>
  </rowFields>
  <rowItems count="6">
    <i>
      <x/>
    </i>
    <i>
      <x v="1"/>
    </i>
    <i>
      <x v="2"/>
    </i>
    <i>
      <x v="3"/>
    </i>
    <i>
      <x v="4"/>
    </i>
    <i t="grand">
      <x/>
    </i>
  </rowItems>
  <colItems count="1">
    <i/>
  </colItems>
  <dataFields count="1">
    <dataField name="Sum of Sales Amount"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8B384-1ADD-4910-BDF7-54F69CB198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9" firstHeaderRow="1" firstDataRow="1" firstDataCol="1"/>
  <pivotFields count="11">
    <pivotField showAll="0"/>
    <pivotField numFmtId="14" showAll="0"/>
    <pivotField showAll="0"/>
    <pivotField showAll="0"/>
    <pivotField showAll="0"/>
    <pivotField dataField="1" showAll="0"/>
    <pivotField axis="axisRow" showAll="0">
      <items count="8">
        <item x="3"/>
        <item x="1"/>
        <item x="0"/>
        <item x="6"/>
        <item x="5"/>
        <item x="2"/>
        <item x="4"/>
        <item t="default"/>
      </items>
    </pivotField>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Sales Amount" fld="5" baseField="0"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6CBDCA-329E-4491-8D0F-BD66F9A8271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9:C62" firstHeaderRow="1" firstDataRow="2" firstDataCol="1"/>
  <pivotFields count="11">
    <pivotField showAll="0"/>
    <pivotField showAll="0"/>
    <pivotField showAll="0"/>
    <pivotField showAll="0"/>
    <pivotField showAll="0"/>
    <pivotField dataField="1" showAll="0"/>
    <pivotField showAll="0">
      <items count="9">
        <item x="3"/>
        <item x="1"/>
        <item x="0"/>
        <item x="6"/>
        <item x="5"/>
        <item x="2"/>
        <item x="4"/>
        <item x="7"/>
        <item t="default"/>
      </items>
    </pivotField>
    <pivotField showAll="0"/>
    <pivotField showAll="0"/>
    <pivotField axis="axisRow" showAll="0">
      <items count="5">
        <item h="1" x="0"/>
        <item x="1"/>
        <item h="1" x="2"/>
        <item h="1" x="3"/>
        <item t="default"/>
      </items>
    </pivotField>
    <pivotField axis="axisCol" showAll="0">
      <items count="6">
        <item h="1" x="3"/>
        <item h="1" x="0"/>
        <item h="1" x="1"/>
        <item x="2"/>
        <item h="1" x="4"/>
        <item t="default"/>
      </items>
    </pivotField>
  </pivotFields>
  <rowFields count="1">
    <field x="9"/>
  </rowFields>
  <rowItems count="2">
    <i>
      <x v="1"/>
    </i>
    <i t="grand">
      <x/>
    </i>
  </rowItems>
  <colFields count="1">
    <field x="10"/>
  </colFields>
  <colItems count="2">
    <i>
      <x v="3"/>
    </i>
    <i t="grand">
      <x/>
    </i>
  </colItems>
  <dataFields count="1">
    <dataField name="Sum of Sales Amount" fld="5" baseField="0" baseItem="0"/>
  </dataFields>
  <chartFormats count="33">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3" format="3" series="1">
      <pivotArea type="data" outline="0" fieldPosition="0">
        <references count="2">
          <reference field="4294967294" count="1" selected="0">
            <x v="0"/>
          </reference>
          <reference field="10" count="1" selected="0">
            <x v="3"/>
          </reference>
        </references>
      </pivotArea>
    </chartFormat>
    <chartFormat chart="3" format="4" series="1">
      <pivotArea type="data" outline="0" fieldPosition="0">
        <references count="2">
          <reference field="4294967294" count="1" selected="0">
            <x v="0"/>
          </reference>
          <reference field="10" count="1" selected="0">
            <x v="4"/>
          </reference>
        </references>
      </pivotArea>
    </chartFormat>
    <chartFormat chart="5" format="30" series="1">
      <pivotArea type="data" outline="0" fieldPosition="0">
        <references count="2">
          <reference field="4294967294" count="1" selected="0">
            <x v="0"/>
          </reference>
          <reference field="10" count="1" selected="0">
            <x v="0"/>
          </reference>
        </references>
      </pivotArea>
    </chartFormat>
    <chartFormat chart="5" format="31">
      <pivotArea type="data" outline="0" fieldPosition="0">
        <references count="3">
          <reference field="4294967294" count="1" selected="0">
            <x v="0"/>
          </reference>
          <reference field="9" count="1" selected="0">
            <x v="0"/>
          </reference>
          <reference field="10" count="1" selected="0">
            <x v="0"/>
          </reference>
        </references>
      </pivotArea>
    </chartFormat>
    <chartFormat chart="5" format="32">
      <pivotArea type="data" outline="0" fieldPosition="0">
        <references count="3">
          <reference field="4294967294" count="1" selected="0">
            <x v="0"/>
          </reference>
          <reference field="9" count="1" selected="0">
            <x v="1"/>
          </reference>
          <reference field="10" count="1" selected="0">
            <x v="0"/>
          </reference>
        </references>
      </pivotArea>
    </chartFormat>
    <chartFormat chart="5" format="33">
      <pivotArea type="data" outline="0" fieldPosition="0">
        <references count="3">
          <reference field="4294967294" count="1" selected="0">
            <x v="0"/>
          </reference>
          <reference field="9" count="1" selected="0">
            <x v="2"/>
          </reference>
          <reference field="10" count="1" selected="0">
            <x v="0"/>
          </reference>
        </references>
      </pivotArea>
    </chartFormat>
    <chartFormat chart="5" format="34">
      <pivotArea type="data" outline="0" fieldPosition="0">
        <references count="3">
          <reference field="4294967294" count="1" selected="0">
            <x v="0"/>
          </reference>
          <reference field="9" count="1" selected="0">
            <x v="3"/>
          </reference>
          <reference field="10" count="1" selected="0">
            <x v="0"/>
          </reference>
        </references>
      </pivotArea>
    </chartFormat>
    <chartFormat chart="5" format="35" series="1">
      <pivotArea type="data" outline="0" fieldPosition="0">
        <references count="2">
          <reference field="4294967294" count="1" selected="0">
            <x v="0"/>
          </reference>
          <reference field="10" count="1" selected="0">
            <x v="1"/>
          </reference>
        </references>
      </pivotArea>
    </chartFormat>
    <chartFormat chart="5" format="36">
      <pivotArea type="data" outline="0" fieldPosition="0">
        <references count="3">
          <reference field="4294967294" count="1" selected="0">
            <x v="0"/>
          </reference>
          <reference field="9" count="1" selected="0">
            <x v="0"/>
          </reference>
          <reference field="10" count="1" selected="0">
            <x v="1"/>
          </reference>
        </references>
      </pivotArea>
    </chartFormat>
    <chartFormat chart="5" format="37">
      <pivotArea type="data" outline="0" fieldPosition="0">
        <references count="3">
          <reference field="4294967294" count="1" selected="0">
            <x v="0"/>
          </reference>
          <reference field="9" count="1" selected="0">
            <x v="1"/>
          </reference>
          <reference field="10" count="1" selected="0">
            <x v="1"/>
          </reference>
        </references>
      </pivotArea>
    </chartFormat>
    <chartFormat chart="5" format="38">
      <pivotArea type="data" outline="0" fieldPosition="0">
        <references count="3">
          <reference field="4294967294" count="1" selected="0">
            <x v="0"/>
          </reference>
          <reference field="9" count="1" selected="0">
            <x v="2"/>
          </reference>
          <reference field="10" count="1" selected="0">
            <x v="1"/>
          </reference>
        </references>
      </pivotArea>
    </chartFormat>
    <chartFormat chart="5" format="39">
      <pivotArea type="data" outline="0" fieldPosition="0">
        <references count="3">
          <reference field="4294967294" count="1" selected="0">
            <x v="0"/>
          </reference>
          <reference field="9" count="1" selected="0">
            <x v="3"/>
          </reference>
          <reference field="10" count="1" selected="0">
            <x v="1"/>
          </reference>
        </references>
      </pivotArea>
    </chartFormat>
    <chartFormat chart="5" format="40" series="1">
      <pivotArea type="data" outline="0" fieldPosition="0">
        <references count="2">
          <reference field="4294967294" count="1" selected="0">
            <x v="0"/>
          </reference>
          <reference field="10" count="1" selected="0">
            <x v="2"/>
          </reference>
        </references>
      </pivotArea>
    </chartFormat>
    <chartFormat chart="5" format="41">
      <pivotArea type="data" outline="0" fieldPosition="0">
        <references count="3">
          <reference field="4294967294" count="1" selected="0">
            <x v="0"/>
          </reference>
          <reference field="9" count="1" selected="0">
            <x v="0"/>
          </reference>
          <reference field="10" count="1" selected="0">
            <x v="2"/>
          </reference>
        </references>
      </pivotArea>
    </chartFormat>
    <chartFormat chart="5" format="42">
      <pivotArea type="data" outline="0" fieldPosition="0">
        <references count="3">
          <reference field="4294967294" count="1" selected="0">
            <x v="0"/>
          </reference>
          <reference field="9" count="1" selected="0">
            <x v="1"/>
          </reference>
          <reference field="10" count="1" selected="0">
            <x v="2"/>
          </reference>
        </references>
      </pivotArea>
    </chartFormat>
    <chartFormat chart="5" format="43">
      <pivotArea type="data" outline="0" fieldPosition="0">
        <references count="3">
          <reference field="4294967294" count="1" selected="0">
            <x v="0"/>
          </reference>
          <reference field="9" count="1" selected="0">
            <x v="2"/>
          </reference>
          <reference field="10" count="1" selected="0">
            <x v="2"/>
          </reference>
        </references>
      </pivotArea>
    </chartFormat>
    <chartFormat chart="5" format="44">
      <pivotArea type="data" outline="0" fieldPosition="0">
        <references count="3">
          <reference field="4294967294" count="1" selected="0">
            <x v="0"/>
          </reference>
          <reference field="9" count="1" selected="0">
            <x v="3"/>
          </reference>
          <reference field="10" count="1" selected="0">
            <x v="2"/>
          </reference>
        </references>
      </pivotArea>
    </chartFormat>
    <chartFormat chart="5" format="45" series="1">
      <pivotArea type="data" outline="0" fieldPosition="0">
        <references count="2">
          <reference field="4294967294" count="1" selected="0">
            <x v="0"/>
          </reference>
          <reference field="10" count="1" selected="0">
            <x v="3"/>
          </reference>
        </references>
      </pivotArea>
    </chartFormat>
    <chartFormat chart="5" format="46">
      <pivotArea type="data" outline="0" fieldPosition="0">
        <references count="3">
          <reference field="4294967294" count="1" selected="0">
            <x v="0"/>
          </reference>
          <reference field="9" count="1" selected="0">
            <x v="0"/>
          </reference>
          <reference field="10" count="1" selected="0">
            <x v="3"/>
          </reference>
        </references>
      </pivotArea>
    </chartFormat>
    <chartFormat chart="5" format="47">
      <pivotArea type="data" outline="0" fieldPosition="0">
        <references count="3">
          <reference field="4294967294" count="1" selected="0">
            <x v="0"/>
          </reference>
          <reference field="9" count="1" selected="0">
            <x v="1"/>
          </reference>
          <reference field="10" count="1" selected="0">
            <x v="3"/>
          </reference>
        </references>
      </pivotArea>
    </chartFormat>
    <chartFormat chart="5" format="48">
      <pivotArea type="data" outline="0" fieldPosition="0">
        <references count="3">
          <reference field="4294967294" count="1" selected="0">
            <x v="0"/>
          </reference>
          <reference field="9" count="1" selected="0">
            <x v="2"/>
          </reference>
          <reference field="10" count="1" selected="0">
            <x v="3"/>
          </reference>
        </references>
      </pivotArea>
    </chartFormat>
    <chartFormat chart="5" format="49">
      <pivotArea type="data" outline="0" fieldPosition="0">
        <references count="3">
          <reference field="4294967294" count="1" selected="0">
            <x v="0"/>
          </reference>
          <reference field="9" count="1" selected="0">
            <x v="3"/>
          </reference>
          <reference field="10" count="1" selected="0">
            <x v="3"/>
          </reference>
        </references>
      </pivotArea>
    </chartFormat>
    <chartFormat chart="5" format="50" series="1">
      <pivotArea type="data" outline="0" fieldPosition="0">
        <references count="2">
          <reference field="4294967294" count="1" selected="0">
            <x v="0"/>
          </reference>
          <reference field="10" count="1" selected="0">
            <x v="4"/>
          </reference>
        </references>
      </pivotArea>
    </chartFormat>
    <chartFormat chart="5" format="51">
      <pivotArea type="data" outline="0" fieldPosition="0">
        <references count="3">
          <reference field="4294967294" count="1" selected="0">
            <x v="0"/>
          </reference>
          <reference field="9" count="1" selected="0">
            <x v="0"/>
          </reference>
          <reference field="10" count="1" selected="0">
            <x v="4"/>
          </reference>
        </references>
      </pivotArea>
    </chartFormat>
    <chartFormat chart="5" format="52">
      <pivotArea type="data" outline="0" fieldPosition="0">
        <references count="3">
          <reference field="4294967294" count="1" selected="0">
            <x v="0"/>
          </reference>
          <reference field="9" count="1" selected="0">
            <x v="1"/>
          </reference>
          <reference field="10" count="1" selected="0">
            <x v="4"/>
          </reference>
        </references>
      </pivotArea>
    </chartFormat>
    <chartFormat chart="5" format="53">
      <pivotArea type="data" outline="0" fieldPosition="0">
        <references count="3">
          <reference field="4294967294" count="1" selected="0">
            <x v="0"/>
          </reference>
          <reference field="9" count="1" selected="0">
            <x v="2"/>
          </reference>
          <reference field="10" count="1" selected="0">
            <x v="4"/>
          </reference>
        </references>
      </pivotArea>
    </chartFormat>
    <chartFormat chart="5" format="54">
      <pivotArea type="data" outline="0" fieldPosition="0">
        <references count="3">
          <reference field="4294967294" count="1" selected="0">
            <x v="0"/>
          </reference>
          <reference field="9" count="1" selected="0">
            <x v="3"/>
          </reference>
          <reference field="10" count="1" selected="0">
            <x v="4"/>
          </reference>
        </references>
      </pivotArea>
    </chartFormat>
    <chartFormat chart="5" format="5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3">
          <reference field="4294967294" count="1" selected="0">
            <x v="0"/>
          </reference>
          <reference field="9"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DBF952-BE80-44D9-A43F-6219450F5DB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B46" firstHeaderRow="1" firstDataRow="1" firstDataCol="1"/>
  <pivotFields count="11">
    <pivotField showAll="0"/>
    <pivotField showAll="0"/>
    <pivotField showAll="0"/>
    <pivotField showAll="0"/>
    <pivotField showAll="0"/>
    <pivotField dataField="1" showAll="0"/>
    <pivotField showAll="0"/>
    <pivotField showAll="0"/>
    <pivotField axis="axisRow" showAll="0">
      <items count="8">
        <item x="2"/>
        <item x="4"/>
        <item x="0"/>
        <item x="1"/>
        <item x="5"/>
        <item x="3"/>
        <item h="1" x="6"/>
        <item t="default"/>
      </items>
    </pivotField>
    <pivotField showAll="0"/>
    <pivotField showAll="0"/>
  </pivotFields>
  <rowFields count="1">
    <field x="8"/>
  </rowFields>
  <rowItems count="7">
    <i>
      <x/>
    </i>
    <i>
      <x v="1"/>
    </i>
    <i>
      <x v="2"/>
    </i>
    <i>
      <x v="3"/>
    </i>
    <i>
      <x v="4"/>
    </i>
    <i>
      <x v="5"/>
    </i>
    <i t="grand">
      <x/>
    </i>
  </rowItems>
  <colItems count="1">
    <i/>
  </colItems>
  <dataFields count="1">
    <dataField name="Sum of Sales Amoun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3C81828-BCF4-4EB1-A8C9-7A0BEECD7A27}" sourceName="Month">
  <pivotTables>
    <pivotTable tabId="5" name="PivotTable4"/>
  </pivotTables>
  <data>
    <tabular pivotCacheId="2133575283">
      <items count="8">
        <i x="1" s="1"/>
        <i x="4" s="1"/>
        <i x="3" s="1" nd="1"/>
        <i x="0" s="1" nd="1"/>
        <i x="6" s="1" nd="1"/>
        <i x="5" s="1" nd="1"/>
        <i x="2"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43282EE-88F5-41D7-A03A-B20E8CB401B1}" sourceName="Category">
  <pivotTables>
    <pivotTable tabId="5" name="PivotTable4"/>
  </pivotTables>
  <data>
    <tabular pivotCacheId="2133575283">
      <items count="4">
        <i x="0"/>
        <i x="1" s="1"/>
        <i x="2"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44F226-DB68-47DD-9EA7-7ACD8701CA58}" sourceName="Region">
  <pivotTables>
    <pivotTable tabId="5" name="PivotTable4"/>
  </pivotTables>
  <data>
    <tabular pivotCacheId="2133575283">
      <items count="5">
        <i x="0"/>
        <i x="2" s="1"/>
        <i x="3" nd="1"/>
        <i x="1"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CD9049A-C348-4988-B916-B31E89A16C86}" cache="Slicer_Month" caption="Month" rowHeight="247650"/>
  <slicer name="Category 1" xr10:uid="{BADF10A0-5708-4BB9-A42A-BB937AF47809}" cache="Slicer_Category1" caption="Category" rowHeight="247650"/>
  <slicer name="Region" xr10:uid="{17B545EA-D2D8-449C-91C6-4BD765A890CC}"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DC566F-1ABF-4E5C-AC78-C466EA5B3B48}" name="Table3" displayName="Table3" ref="A26:B30" totalsRowShown="0">
  <autoFilter ref="A26:B30" xr:uid="{85DC566F-1ABF-4E5C-AC78-C466EA5B3B48}"/>
  <tableColumns count="2">
    <tableColumn id="1" xr3:uid="{3FD041E2-978D-4672-A4DF-4DDC840E3B18}" name="Region ID"/>
    <tableColumn id="2" xr3:uid="{54F035CB-8FDD-4DEE-ADC0-44C26953BA07}" name="Region Name"/>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2F0DC8-2D76-4B1D-8390-5BC6B9CD8513}" name="Table156" displayName="Table156" ref="A1:K11" totalsRowShown="0">
  <autoFilter ref="A1:K11" xr:uid="{E82F0DC8-2D76-4B1D-8390-5BC6B9CD8513}"/>
  <tableColumns count="11">
    <tableColumn id="1" xr3:uid="{33F5700B-7729-46B2-9161-C4B0E345FA9B}" name="Order ID"/>
    <tableColumn id="2" xr3:uid="{B38DA59D-911B-411C-AB72-2B950530BC80}" name="Order Date "/>
    <tableColumn id="3" xr3:uid="{17A8F4EF-5DE3-4447-B1A7-3BED3EA263E2}" name="Product ID"/>
    <tableColumn id="6" xr3:uid="{586007A9-B942-4ABD-87EC-92C9B39A5C0B}" name="Region ID"/>
    <tableColumn id="4" xr3:uid="{DB68D375-7C8F-4EBE-9F87-F373D83027B4}" name="Quantity"/>
    <tableColumn id="5" xr3:uid="{14D47454-FDBC-4108-A313-4C3994F25E1A}" name="Sales Amount"/>
    <tableColumn id="13" xr3:uid="{68438054-1ADF-4F6B-93D0-9F7C2039BBCC}" name="Month">
      <calculatedColumnFormula>TEXT(B2,"mmm-yyyy")</calculatedColumnFormula>
    </tableColumn>
    <tableColumn id="7" xr3:uid="{2B47B1F4-D1CA-4F97-82D5-30C2D713D38C}" name="Weekday">
      <calculatedColumnFormula>TEXT(B2,"dddd")</calculatedColumnFormula>
    </tableColumn>
    <tableColumn id="8" xr3:uid="{E4BBDED3-FB59-4F19-A10A-A45ADF05280D}" name="Product Name">
      <calculatedColumnFormula>VLOOKUP(C2,$A$17:$C$22,2,FALSE)</calculatedColumnFormula>
    </tableColumn>
    <tableColumn id="9" xr3:uid="{FC6F5A27-EE82-471D-B656-E73D375B68EE}" name="Category">
      <calculatedColumnFormula>VLOOKUP(C2,$A$17:$C$22,3,FALSE)</calculatedColumnFormula>
    </tableColumn>
    <tableColumn id="10" xr3:uid="{B4DEECF7-ABD0-43E8-A461-6B02689DB5FF}" name="Region">
      <calculatedColumnFormula>VLOOKUP(D2,$A$26:$B$30,2,FALSE)</calculatedColumnFormula>
    </tableColumn>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CF3DB2-7F4F-4181-A105-7DBEB7B04041}" name="Table278" displayName="Table278" ref="A16:C22" totalsRowShown="0">
  <autoFilter ref="A16:C22" xr:uid="{C5CF3DB2-7F4F-4181-A105-7DBEB7B04041}"/>
  <tableColumns count="3">
    <tableColumn id="1" xr3:uid="{4B3C7047-B335-4559-81C6-666FDCCABC80}" name="Product ID "/>
    <tableColumn id="2" xr3:uid="{BECA3763-B1D7-44EF-B0B4-AB5972984815}" name="Product Name"/>
    <tableColumn id="3" xr3:uid="{8638431C-1B8B-4486-B5CF-022774EE9CA4}" name="Category"/>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3B65B4-AED7-4B80-B63F-DA164C3784D3}">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DF65-7980-4A80-9B6C-00CFB8825DBE}">
  <dimension ref="A1:C62"/>
  <sheetViews>
    <sheetView topLeftCell="A24" workbookViewId="0">
      <selection activeCell="J15" sqref="J15"/>
    </sheetView>
  </sheetViews>
  <sheetFormatPr defaultRowHeight="14.4" x14ac:dyDescent="0.3"/>
  <cols>
    <col min="1" max="1" width="18.5546875" bestFit="1" customWidth="1"/>
    <col min="2" max="2" width="15.5546875" bestFit="1" customWidth="1"/>
    <col min="3" max="4" width="10.5546875" bestFit="1" customWidth="1"/>
    <col min="5" max="5" width="5.21875" bestFit="1" customWidth="1"/>
    <col min="6" max="6" width="7" bestFit="1" customWidth="1"/>
    <col min="7" max="7" width="10.5546875" bestFit="1" customWidth="1"/>
  </cols>
  <sheetData>
    <row r="1" spans="1:2" x14ac:dyDescent="0.3">
      <c r="A1" s="3" t="s">
        <v>37</v>
      </c>
      <c r="B1" t="s">
        <v>36</v>
      </c>
    </row>
    <row r="2" spans="1:2" x14ac:dyDescent="0.3">
      <c r="A2" s="4" t="s">
        <v>39</v>
      </c>
      <c r="B2">
        <v>7000</v>
      </c>
    </row>
    <row r="3" spans="1:2" x14ac:dyDescent="0.3">
      <c r="A3" s="4" t="s">
        <v>40</v>
      </c>
      <c r="B3">
        <v>8000</v>
      </c>
    </row>
    <row r="4" spans="1:2" x14ac:dyDescent="0.3">
      <c r="A4" s="4" t="s">
        <v>41</v>
      </c>
      <c r="B4">
        <v>6500</v>
      </c>
    </row>
    <row r="5" spans="1:2" x14ac:dyDescent="0.3">
      <c r="A5" s="4" t="s">
        <v>42</v>
      </c>
      <c r="B5">
        <v>2000</v>
      </c>
    </row>
    <row r="6" spans="1:2" x14ac:dyDescent="0.3">
      <c r="A6" s="4" t="s">
        <v>43</v>
      </c>
      <c r="B6">
        <v>3000</v>
      </c>
    </row>
    <row r="7" spans="1:2" x14ac:dyDescent="0.3">
      <c r="A7" s="4" t="s">
        <v>44</v>
      </c>
      <c r="B7">
        <v>8000</v>
      </c>
    </row>
    <row r="8" spans="1:2" x14ac:dyDescent="0.3">
      <c r="A8" s="4" t="s">
        <v>45</v>
      </c>
      <c r="B8">
        <v>1500</v>
      </c>
    </row>
    <row r="9" spans="1:2" x14ac:dyDescent="0.3">
      <c r="A9" s="4" t="s">
        <v>38</v>
      </c>
      <c r="B9">
        <v>36000</v>
      </c>
    </row>
    <row r="21" spans="1:2" x14ac:dyDescent="0.3">
      <c r="A21" s="3" t="s">
        <v>37</v>
      </c>
      <c r="B21" t="s">
        <v>36</v>
      </c>
    </row>
    <row r="22" spans="1:2" x14ac:dyDescent="0.3">
      <c r="A22" s="4" t="s">
        <v>46</v>
      </c>
      <c r="B22">
        <v>3500</v>
      </c>
    </row>
    <row r="23" spans="1:2" x14ac:dyDescent="0.3">
      <c r="A23" s="4" t="s">
        <v>47</v>
      </c>
      <c r="B23">
        <v>8000</v>
      </c>
    </row>
    <row r="24" spans="1:2" x14ac:dyDescent="0.3">
      <c r="A24" s="4" t="s">
        <v>48</v>
      </c>
      <c r="B24">
        <v>7000</v>
      </c>
    </row>
    <row r="25" spans="1:2" x14ac:dyDescent="0.3">
      <c r="A25" s="4" t="s">
        <v>49</v>
      </c>
      <c r="B25">
        <v>9000</v>
      </c>
    </row>
    <row r="26" spans="1:2" x14ac:dyDescent="0.3">
      <c r="A26" s="4" t="s">
        <v>50</v>
      </c>
      <c r="B26">
        <v>8500</v>
      </c>
    </row>
    <row r="27" spans="1:2" x14ac:dyDescent="0.3">
      <c r="A27" s="4" t="s">
        <v>38</v>
      </c>
      <c r="B27">
        <v>36000</v>
      </c>
    </row>
    <row r="39" spans="1:2" x14ac:dyDescent="0.3">
      <c r="A39" s="3" t="s">
        <v>37</v>
      </c>
      <c r="B39" t="s">
        <v>36</v>
      </c>
    </row>
    <row r="40" spans="1:2" x14ac:dyDescent="0.3">
      <c r="A40" s="4" t="s">
        <v>21</v>
      </c>
      <c r="B40">
        <v>7500</v>
      </c>
    </row>
    <row r="41" spans="1:2" x14ac:dyDescent="0.3">
      <c r="A41" s="4" t="s">
        <v>33</v>
      </c>
      <c r="B41">
        <v>11000</v>
      </c>
    </row>
    <row r="42" spans="1:2" x14ac:dyDescent="0.3">
      <c r="A42" s="4" t="s">
        <v>19</v>
      </c>
      <c r="B42">
        <v>4000</v>
      </c>
    </row>
    <row r="43" spans="1:2" x14ac:dyDescent="0.3">
      <c r="A43" s="4" t="s">
        <v>20</v>
      </c>
      <c r="B43">
        <v>4500</v>
      </c>
    </row>
    <row r="44" spans="1:2" x14ac:dyDescent="0.3">
      <c r="A44" s="4" t="s">
        <v>30</v>
      </c>
      <c r="B44">
        <v>7000</v>
      </c>
    </row>
    <row r="45" spans="1:2" x14ac:dyDescent="0.3">
      <c r="A45" s="4" t="s">
        <v>22</v>
      </c>
      <c r="B45">
        <v>2000</v>
      </c>
    </row>
    <row r="46" spans="1:2" x14ac:dyDescent="0.3">
      <c r="A46" s="4" t="s">
        <v>38</v>
      </c>
      <c r="B46">
        <v>36000</v>
      </c>
    </row>
    <row r="59" spans="1:3" x14ac:dyDescent="0.3">
      <c r="A59" s="3" t="s">
        <v>36</v>
      </c>
      <c r="B59" s="3" t="s">
        <v>51</v>
      </c>
    </row>
    <row r="60" spans="1:3" x14ac:dyDescent="0.3">
      <c r="A60" s="3" t="s">
        <v>37</v>
      </c>
      <c r="B60" t="s">
        <v>28</v>
      </c>
      <c r="C60" t="s">
        <v>38</v>
      </c>
    </row>
    <row r="61" spans="1:3" x14ac:dyDescent="0.3">
      <c r="A61" s="4" t="s">
        <v>24</v>
      </c>
      <c r="B61">
        <v>3500</v>
      </c>
      <c r="C61">
        <v>3500</v>
      </c>
    </row>
    <row r="62" spans="1:3" x14ac:dyDescent="0.3">
      <c r="A62" s="4" t="s">
        <v>38</v>
      </c>
      <c r="B62">
        <v>3500</v>
      </c>
      <c r="C62">
        <v>3500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4C97-643E-44C5-A169-1BC8C1D9C837}">
  <dimension ref="A1:K44"/>
  <sheetViews>
    <sheetView tabSelected="1" zoomScale="99" workbookViewId="0">
      <selection activeCell="E19" sqref="E19"/>
    </sheetView>
  </sheetViews>
  <sheetFormatPr defaultRowHeight="14.4" x14ac:dyDescent="0.3"/>
  <cols>
    <col min="1" max="1" width="12.109375" customWidth="1"/>
    <col min="2" max="2" width="14.5546875" customWidth="1"/>
    <col min="3" max="4" width="11.21875" customWidth="1"/>
    <col min="5" max="5" width="12.21875" customWidth="1"/>
    <col min="6" max="7" width="14" customWidth="1"/>
    <col min="8" max="8" width="16.5546875" customWidth="1"/>
    <col min="9" max="9" width="14.5546875" customWidth="1"/>
    <col min="10" max="10" width="16.77734375" customWidth="1"/>
    <col min="11" max="11" width="11.109375" customWidth="1"/>
    <col min="12" max="12" width="13.44140625" customWidth="1"/>
  </cols>
  <sheetData>
    <row r="1" spans="1:11" x14ac:dyDescent="0.3">
      <c r="A1" t="s">
        <v>0</v>
      </c>
      <c r="B1" t="s">
        <v>1</v>
      </c>
      <c r="C1" t="s">
        <v>2</v>
      </c>
      <c r="D1" t="s">
        <v>14</v>
      </c>
      <c r="E1" t="s">
        <v>3</v>
      </c>
      <c r="F1" t="s">
        <v>4</v>
      </c>
      <c r="G1" t="s">
        <v>18</v>
      </c>
      <c r="H1" t="s">
        <v>29</v>
      </c>
      <c r="I1" t="s">
        <v>6</v>
      </c>
      <c r="J1" t="s">
        <v>7</v>
      </c>
      <c r="K1" t="s">
        <v>35</v>
      </c>
    </row>
    <row r="2" spans="1:11" x14ac:dyDescent="0.3">
      <c r="A2">
        <v>1001</v>
      </c>
      <c r="B2" s="1">
        <v>45296</v>
      </c>
      <c r="C2" t="s">
        <v>8</v>
      </c>
      <c r="D2" t="s">
        <v>15</v>
      </c>
      <c r="E2">
        <v>2</v>
      </c>
      <c r="F2">
        <v>4000</v>
      </c>
      <c r="G2" t="str">
        <f>TEXT(B2,"mmm-yyyy")</f>
        <v>Jan-2024</v>
      </c>
      <c r="H2" t="str">
        <f>TEXT(B2,"dddd")</f>
        <v>Friday</v>
      </c>
      <c r="I2" t="str">
        <f>VLOOKUP(C2,$A$17:$C$22,2,FALSE)</f>
        <v>Laptop</v>
      </c>
      <c r="J2" t="str">
        <f>VLOOKUP(C2,$A$17:$C$22,3,FALSE)</f>
        <v>Electronics</v>
      </c>
      <c r="K2" t="str">
        <f>VLOOKUP(D2,$A$26:$B$30,2,FALSE)</f>
        <v>North</v>
      </c>
    </row>
    <row r="3" spans="1:11" x14ac:dyDescent="0.3">
      <c r="A3">
        <v>1002</v>
      </c>
      <c r="B3" s="1">
        <v>45297</v>
      </c>
      <c r="C3" t="s">
        <v>9</v>
      </c>
      <c r="D3" t="s">
        <v>16</v>
      </c>
      <c r="E3">
        <v>1</v>
      </c>
      <c r="F3">
        <v>2500</v>
      </c>
      <c r="G3" t="str">
        <f t="shared" ref="G3:G11" si="0">TEXT(B3,"mmm-yyyy")</f>
        <v>Jan-2024</v>
      </c>
      <c r="H3" t="str">
        <f t="shared" ref="H3:H11" si="1">TEXT(B3,"dddd")</f>
        <v>Saturday</v>
      </c>
      <c r="I3" t="str">
        <f t="shared" ref="I3:I11" si="2">VLOOKUP(C3,$A$17:$C$22,2,FALSE)</f>
        <v>Mobile</v>
      </c>
      <c r="J3" t="str">
        <f t="shared" ref="J3:J11" si="3">VLOOKUP(C3,$A$17:$C$22,3,FALSE)</f>
        <v>Electronics</v>
      </c>
      <c r="K3" t="str">
        <f t="shared" ref="K3:K11" si="4">VLOOKUP(D3,$A$26:$B$30,2,FALSE)</f>
        <v>South</v>
      </c>
    </row>
    <row r="4" spans="1:11" x14ac:dyDescent="0.3">
      <c r="A4">
        <v>1003</v>
      </c>
      <c r="B4" s="1">
        <v>45332</v>
      </c>
      <c r="C4" t="s">
        <v>10</v>
      </c>
      <c r="D4" t="s">
        <v>15</v>
      </c>
      <c r="E4">
        <v>3</v>
      </c>
      <c r="F4">
        <v>6000</v>
      </c>
      <c r="G4" t="str">
        <f t="shared" si="0"/>
        <v>Feb-2024</v>
      </c>
      <c r="H4" t="str">
        <f t="shared" si="1"/>
        <v>Saturday</v>
      </c>
      <c r="I4" t="str">
        <f t="shared" si="2"/>
        <v>Chair</v>
      </c>
      <c r="J4" t="str">
        <f t="shared" si="3"/>
        <v>Furniture</v>
      </c>
      <c r="K4" t="str">
        <f t="shared" si="4"/>
        <v>North</v>
      </c>
    </row>
    <row r="5" spans="1:11" x14ac:dyDescent="0.3">
      <c r="A5">
        <v>1004</v>
      </c>
      <c r="B5" s="1">
        <v>45337</v>
      </c>
      <c r="C5" t="s">
        <v>11</v>
      </c>
      <c r="D5" t="s">
        <v>17</v>
      </c>
      <c r="E5">
        <v>6</v>
      </c>
      <c r="F5">
        <v>2000</v>
      </c>
      <c r="G5" t="str">
        <f t="shared" si="0"/>
        <v>Feb-2024</v>
      </c>
      <c r="H5" t="str">
        <f t="shared" si="1"/>
        <v>Thursday</v>
      </c>
      <c r="I5" t="str">
        <f t="shared" si="2"/>
        <v>Table</v>
      </c>
      <c r="J5" t="str">
        <f t="shared" si="3"/>
        <v>Furniture</v>
      </c>
      <c r="K5" t="str">
        <f t="shared" si="4"/>
        <v>West</v>
      </c>
    </row>
    <row r="6" spans="1:11" x14ac:dyDescent="0.3">
      <c r="A6">
        <v>1005</v>
      </c>
      <c r="B6" s="1">
        <v>45371</v>
      </c>
      <c r="C6" t="s">
        <v>12</v>
      </c>
      <c r="D6" t="s">
        <v>16</v>
      </c>
      <c r="E6">
        <v>4</v>
      </c>
      <c r="F6">
        <v>8000</v>
      </c>
      <c r="G6" t="str">
        <f t="shared" si="0"/>
        <v>Mar-2024</v>
      </c>
      <c r="H6" t="str">
        <f t="shared" si="1"/>
        <v>Wednesday</v>
      </c>
      <c r="I6" t="str">
        <f t="shared" si="2"/>
        <v>Lamp</v>
      </c>
      <c r="J6" t="str">
        <f t="shared" si="3"/>
        <v>Home</v>
      </c>
      <c r="K6" t="str">
        <f t="shared" si="4"/>
        <v>South</v>
      </c>
    </row>
    <row r="7" spans="1:11" x14ac:dyDescent="0.3">
      <c r="A7">
        <v>1006</v>
      </c>
      <c r="B7" s="1">
        <v>45407</v>
      </c>
      <c r="C7" t="s">
        <v>13</v>
      </c>
      <c r="D7" t="s">
        <v>15</v>
      </c>
      <c r="E7">
        <v>9</v>
      </c>
      <c r="F7">
        <v>5000</v>
      </c>
      <c r="G7" t="str">
        <f t="shared" si="0"/>
        <v>Apr-2024</v>
      </c>
      <c r="H7" t="str">
        <f t="shared" si="1"/>
        <v>Thursday</v>
      </c>
      <c r="I7" t="str">
        <f t="shared" si="2"/>
        <v>Printer</v>
      </c>
      <c r="J7" t="str">
        <f t="shared" si="3"/>
        <v>Electronics</v>
      </c>
      <c r="K7" t="str">
        <f t="shared" si="4"/>
        <v>North</v>
      </c>
    </row>
    <row r="8" spans="1:11" x14ac:dyDescent="0.3">
      <c r="A8">
        <v>1007</v>
      </c>
      <c r="B8" s="1">
        <v>45408</v>
      </c>
      <c r="C8" t="s">
        <v>9</v>
      </c>
      <c r="D8" t="s">
        <v>31</v>
      </c>
      <c r="E8">
        <v>2</v>
      </c>
      <c r="F8">
        <v>2000</v>
      </c>
      <c r="G8" t="str">
        <f t="shared" si="0"/>
        <v>Apr-2024</v>
      </c>
      <c r="H8" t="str">
        <f t="shared" si="1"/>
        <v>Friday</v>
      </c>
      <c r="I8" t="str">
        <f t="shared" si="2"/>
        <v>Mobile</v>
      </c>
      <c r="J8" t="str">
        <f t="shared" si="3"/>
        <v>Electronics</v>
      </c>
      <c r="K8" t="str">
        <f t="shared" si="4"/>
        <v>East</v>
      </c>
    </row>
    <row r="9" spans="1:11" x14ac:dyDescent="0.3">
      <c r="A9">
        <v>1008</v>
      </c>
      <c r="B9" s="1">
        <v>45439</v>
      </c>
      <c r="C9" t="s">
        <v>10</v>
      </c>
      <c r="D9" t="s">
        <v>17</v>
      </c>
      <c r="E9">
        <v>8</v>
      </c>
      <c r="F9">
        <v>1500</v>
      </c>
      <c r="G9" t="str">
        <f t="shared" si="0"/>
        <v>May-2024</v>
      </c>
      <c r="H9" t="str">
        <f t="shared" si="1"/>
        <v>Monday</v>
      </c>
      <c r="I9" t="str">
        <f t="shared" si="2"/>
        <v>Chair</v>
      </c>
      <c r="J9" t="str">
        <f t="shared" si="3"/>
        <v>Furniture</v>
      </c>
      <c r="K9" t="str">
        <f t="shared" si="4"/>
        <v>West</v>
      </c>
    </row>
    <row r="10" spans="1:11" x14ac:dyDescent="0.3">
      <c r="A10">
        <v>1009</v>
      </c>
      <c r="B10" s="1">
        <v>45471</v>
      </c>
      <c r="C10" t="s">
        <v>12</v>
      </c>
      <c r="D10" t="s">
        <v>15</v>
      </c>
      <c r="E10">
        <v>3</v>
      </c>
      <c r="F10">
        <v>3000</v>
      </c>
      <c r="G10" t="str">
        <f t="shared" si="0"/>
        <v>Jun-2024</v>
      </c>
      <c r="H10" t="str">
        <f t="shared" si="1"/>
        <v>Friday</v>
      </c>
      <c r="I10" t="str">
        <f t="shared" si="2"/>
        <v>Lamp</v>
      </c>
      <c r="J10" t="str">
        <f t="shared" si="3"/>
        <v>Home</v>
      </c>
      <c r="K10" t="str">
        <f t="shared" si="4"/>
        <v>North</v>
      </c>
    </row>
    <row r="11" spans="1:11" x14ac:dyDescent="0.3">
      <c r="A11">
        <v>1010</v>
      </c>
      <c r="B11" s="1">
        <v>45502</v>
      </c>
      <c r="C11" t="s">
        <v>13</v>
      </c>
      <c r="D11" t="s">
        <v>17</v>
      </c>
      <c r="E11">
        <v>2</v>
      </c>
      <c r="F11">
        <v>2000</v>
      </c>
      <c r="G11" t="str">
        <f t="shared" si="0"/>
        <v>Jul-2024</v>
      </c>
      <c r="H11" t="str">
        <f t="shared" si="1"/>
        <v>Monday</v>
      </c>
      <c r="I11" t="str">
        <f t="shared" si="2"/>
        <v>Printer</v>
      </c>
      <c r="J11" t="str">
        <f t="shared" si="3"/>
        <v>Electronics</v>
      </c>
      <c r="K11" t="str">
        <f t="shared" si="4"/>
        <v>West</v>
      </c>
    </row>
    <row r="12" spans="1:11" x14ac:dyDescent="0.3">
      <c r="B12" s="1"/>
    </row>
    <row r="13" spans="1:11" x14ac:dyDescent="0.3">
      <c r="B13" s="1"/>
    </row>
    <row r="14" spans="1:11" x14ac:dyDescent="0.3">
      <c r="B14" s="1"/>
    </row>
    <row r="15" spans="1:11" x14ac:dyDescent="0.3">
      <c r="B15" s="1"/>
    </row>
    <row r="16" spans="1:11" x14ac:dyDescent="0.3">
      <c r="A16" t="s">
        <v>5</v>
      </c>
      <c r="B16" t="s">
        <v>6</v>
      </c>
      <c r="C16" t="s">
        <v>7</v>
      </c>
      <c r="G16" s="8" t="s">
        <v>54</v>
      </c>
    </row>
    <row r="17" spans="1:7" x14ac:dyDescent="0.3">
      <c r="A17" t="s">
        <v>8</v>
      </c>
      <c r="B17" t="s">
        <v>19</v>
      </c>
      <c r="C17" t="s">
        <v>23</v>
      </c>
      <c r="G17" t="s">
        <v>53</v>
      </c>
    </row>
    <row r="18" spans="1:7" x14ac:dyDescent="0.3">
      <c r="A18" t="s">
        <v>9</v>
      </c>
      <c r="B18" t="s">
        <v>20</v>
      </c>
      <c r="C18" t="s">
        <v>23</v>
      </c>
    </row>
    <row r="19" spans="1:7" x14ac:dyDescent="0.3">
      <c r="A19" t="s">
        <v>10</v>
      </c>
      <c r="B19" t="s">
        <v>21</v>
      </c>
      <c r="C19" t="s">
        <v>24</v>
      </c>
    </row>
    <row r="20" spans="1:7" x14ac:dyDescent="0.3">
      <c r="A20" t="s">
        <v>11</v>
      </c>
      <c r="B20" t="s">
        <v>22</v>
      </c>
      <c r="C20" t="s">
        <v>24</v>
      </c>
    </row>
    <row r="21" spans="1:7" x14ac:dyDescent="0.3">
      <c r="A21" t="s">
        <v>12</v>
      </c>
      <c r="B21" t="s">
        <v>33</v>
      </c>
      <c r="C21" t="s">
        <v>34</v>
      </c>
    </row>
    <row r="22" spans="1:7" x14ac:dyDescent="0.3">
      <c r="A22" t="s">
        <v>13</v>
      </c>
      <c r="B22" t="s">
        <v>30</v>
      </c>
      <c r="C22" t="s">
        <v>23</v>
      </c>
    </row>
    <row r="25" spans="1:7" x14ac:dyDescent="0.3">
      <c r="B25" s="2"/>
    </row>
    <row r="26" spans="1:7" x14ac:dyDescent="0.3">
      <c r="A26" t="s">
        <v>14</v>
      </c>
      <c r="B26" t="s">
        <v>25</v>
      </c>
    </row>
    <row r="27" spans="1:7" x14ac:dyDescent="0.3">
      <c r="A27" t="s">
        <v>15</v>
      </c>
      <c r="B27" t="s">
        <v>26</v>
      </c>
    </row>
    <row r="28" spans="1:7" x14ac:dyDescent="0.3">
      <c r="A28" t="s">
        <v>16</v>
      </c>
      <c r="B28" t="s">
        <v>27</v>
      </c>
    </row>
    <row r="29" spans="1:7" x14ac:dyDescent="0.3">
      <c r="A29" t="s">
        <v>17</v>
      </c>
      <c r="B29" t="s">
        <v>28</v>
      </c>
    </row>
    <row r="30" spans="1:7" x14ac:dyDescent="0.3">
      <c r="A30" t="s">
        <v>31</v>
      </c>
      <c r="B30" t="s">
        <v>32</v>
      </c>
    </row>
    <row r="35" spans="2:2" x14ac:dyDescent="0.3">
      <c r="B35" s="1"/>
    </row>
    <row r="36" spans="2:2" x14ac:dyDescent="0.3">
      <c r="B36" s="1"/>
    </row>
    <row r="37" spans="2:2" x14ac:dyDescent="0.3">
      <c r="B37" s="1"/>
    </row>
    <row r="38" spans="2:2" x14ac:dyDescent="0.3">
      <c r="B38" s="1"/>
    </row>
    <row r="39" spans="2:2" x14ac:dyDescent="0.3">
      <c r="B39" s="1"/>
    </row>
    <row r="40" spans="2:2" x14ac:dyDescent="0.3">
      <c r="B40" s="1"/>
    </row>
    <row r="41" spans="2:2" x14ac:dyDescent="0.3">
      <c r="B41" s="1"/>
    </row>
    <row r="42" spans="2:2" x14ac:dyDescent="0.3">
      <c r="B42" s="1"/>
    </row>
    <row r="43" spans="2:2" x14ac:dyDescent="0.3">
      <c r="B43" s="1"/>
    </row>
    <row r="44" spans="2:2" x14ac:dyDescent="0.3">
      <c r="B44" s="1"/>
    </row>
  </sheetData>
  <phoneticPr fontId="1" type="noConversion"/>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2E38-4F9A-434D-B785-C0EC2DA23BDC}">
  <dimension ref="D1:Q5"/>
  <sheetViews>
    <sheetView showGridLines="0" topLeftCell="A36" workbookViewId="0">
      <selection activeCell="K34" sqref="K34"/>
    </sheetView>
  </sheetViews>
  <sheetFormatPr defaultRowHeight="14.4" x14ac:dyDescent="0.3"/>
  <cols>
    <col min="1" max="16384" width="8.88671875" style="5"/>
  </cols>
  <sheetData>
    <row r="1" spans="4:17" x14ac:dyDescent="0.3">
      <c r="E1" s="7" t="s">
        <v>52</v>
      </c>
      <c r="F1" s="7"/>
      <c r="G1" s="7"/>
      <c r="H1" s="7"/>
      <c r="I1" s="7"/>
      <c r="J1" s="7"/>
      <c r="K1" s="7"/>
      <c r="L1" s="7"/>
      <c r="M1" s="7"/>
      <c r="N1" s="7"/>
      <c r="O1" s="7"/>
      <c r="P1" s="7"/>
      <c r="Q1" s="7"/>
    </row>
    <row r="2" spans="4:17" x14ac:dyDescent="0.3">
      <c r="E2" s="7"/>
      <c r="F2" s="7"/>
      <c r="G2" s="7"/>
      <c r="H2" s="7"/>
      <c r="I2" s="7"/>
      <c r="J2" s="7"/>
      <c r="K2" s="7"/>
      <c r="L2" s="7"/>
      <c r="M2" s="7"/>
      <c r="N2" s="7"/>
      <c r="O2" s="7"/>
      <c r="P2" s="7"/>
      <c r="Q2" s="7"/>
    </row>
    <row r="3" spans="4:17" x14ac:dyDescent="0.3">
      <c r="D3" s="6"/>
      <c r="E3" s="7"/>
      <c r="F3" s="7"/>
      <c r="G3" s="7"/>
      <c r="H3" s="7"/>
      <c r="I3" s="7"/>
      <c r="J3" s="7"/>
      <c r="K3" s="7"/>
      <c r="L3" s="7"/>
      <c r="M3" s="7"/>
      <c r="N3" s="7"/>
      <c r="O3" s="7"/>
      <c r="P3" s="7"/>
      <c r="Q3" s="7"/>
    </row>
    <row r="4" spans="4:17" x14ac:dyDescent="0.3">
      <c r="E4" s="7"/>
      <c r="F4" s="7"/>
      <c r="G4" s="7"/>
      <c r="H4" s="7"/>
      <c r="I4" s="7"/>
      <c r="J4" s="7"/>
      <c r="K4" s="7"/>
      <c r="L4" s="7"/>
      <c r="M4" s="7"/>
      <c r="N4" s="7"/>
      <c r="O4" s="7"/>
      <c r="P4" s="7"/>
      <c r="Q4" s="7"/>
    </row>
    <row r="5" spans="4:17" x14ac:dyDescent="0.3">
      <c r="E5" s="7"/>
      <c r="F5" s="7"/>
      <c r="G5" s="7"/>
      <c r="H5" s="7"/>
      <c r="I5" s="7"/>
      <c r="J5" s="7"/>
      <c r="K5" s="7"/>
      <c r="L5" s="7"/>
      <c r="M5" s="7"/>
      <c r="N5" s="7"/>
      <c r="O5" s="7"/>
      <c r="P5" s="7"/>
      <c r="Q5" s="7"/>
    </row>
  </sheetData>
  <mergeCells count="1">
    <mergeCell ref="E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KS</dc:creator>
  <cp:lastModifiedBy>SWETHA KS</cp:lastModifiedBy>
  <dcterms:created xsi:type="dcterms:W3CDTF">2026-02-08T17:15:29Z</dcterms:created>
  <dcterms:modified xsi:type="dcterms:W3CDTF">2026-02-15T12:41:30Z</dcterms:modified>
</cp:coreProperties>
</file>